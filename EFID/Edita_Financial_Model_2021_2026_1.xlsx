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FMCG\EFID\"/>
    </mc:Choice>
  </mc:AlternateContent>
  <xr:revisionPtr revIDLastSave="0" documentId="13_ncr:1_{8872EFAF-D376-42AD-905A-F94502A97048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Income Statement" sheetId="1" r:id="rId1"/>
    <sheet name="Balance Sheet" sheetId="2" r:id="rId2"/>
    <sheet name="Financial Ratios" sheetId="4" r:id="rId3"/>
    <sheet name="Cash Flow" sheetId="3" r:id="rId4"/>
    <sheet name="Annual 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4" i="1" l="1"/>
  <c r="V42" i="4" l="1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U26" i="1"/>
  <c r="F16" i="1" l="1"/>
  <c r="E16" i="1"/>
  <c r="D16" i="1"/>
  <c r="C16" i="1"/>
  <c r="B16" i="1"/>
  <c r="E7" i="1"/>
  <c r="D7" i="1"/>
  <c r="C7" i="1"/>
  <c r="B7" i="1"/>
  <c r="L33" i="4"/>
  <c r="V32" i="4"/>
  <c r="V33" i="4" s="1"/>
  <c r="U32" i="4"/>
  <c r="U33" i="4" s="1"/>
  <c r="T32" i="4"/>
  <c r="T33" i="4" s="1"/>
  <c r="S32" i="4"/>
  <c r="S33" i="4" s="1"/>
  <c r="R32" i="4"/>
  <c r="R33" i="4" s="1"/>
  <c r="Q32" i="4"/>
  <c r="Q33" i="4" s="1"/>
  <c r="P32" i="4"/>
  <c r="P33" i="4" s="1"/>
  <c r="O32" i="4"/>
  <c r="O33" i="4" s="1"/>
  <c r="N32" i="4"/>
  <c r="N33" i="4" s="1"/>
  <c r="M32" i="4"/>
  <c r="M33" i="4" s="1"/>
  <c r="L32" i="4"/>
  <c r="K32" i="4"/>
  <c r="K33" i="4" s="1"/>
  <c r="J32" i="4"/>
  <c r="J33" i="4" s="1"/>
  <c r="I32" i="4"/>
  <c r="I33" i="4" s="1"/>
  <c r="H32" i="4"/>
  <c r="H33" i="4" s="1"/>
  <c r="G32" i="4"/>
  <c r="G33" i="4" s="1"/>
  <c r="F32" i="4"/>
  <c r="F33" i="4" s="1"/>
  <c r="E32" i="4"/>
  <c r="E33" i="4" s="1"/>
  <c r="D32" i="4"/>
  <c r="D33" i="4" s="1"/>
  <c r="C32" i="4"/>
  <c r="C33" i="4" s="1"/>
  <c r="B32" i="4"/>
  <c r="B33" i="4" s="1"/>
  <c r="L34" i="4" l="1"/>
  <c r="M34" i="4"/>
  <c r="N34" i="4"/>
  <c r="O34" i="4"/>
  <c r="R34" i="4"/>
  <c r="D29" i="4"/>
  <c r="D30" i="4" s="1"/>
  <c r="D31" i="4" s="1"/>
  <c r="E29" i="4"/>
  <c r="E30" i="4" s="1"/>
  <c r="F29" i="4"/>
  <c r="F30" i="4" s="1"/>
  <c r="G29" i="4"/>
  <c r="G30" i="4" s="1"/>
  <c r="H29" i="4"/>
  <c r="H30" i="4" s="1"/>
  <c r="I29" i="4"/>
  <c r="I30" i="4" s="1"/>
  <c r="I31" i="4" s="1"/>
  <c r="J29" i="4"/>
  <c r="K29" i="4"/>
  <c r="L29" i="4"/>
  <c r="M29" i="4"/>
  <c r="N29" i="4"/>
  <c r="N30" i="4" s="1"/>
  <c r="O29" i="4"/>
  <c r="O30" i="4" s="1"/>
  <c r="O31" i="4" s="1"/>
  <c r="P29" i="4"/>
  <c r="P30" i="4" s="1"/>
  <c r="P31" i="4" s="1"/>
  <c r="Q29" i="4"/>
  <c r="Q30" i="4" s="1"/>
  <c r="Q31" i="4" s="1"/>
  <c r="R29" i="4"/>
  <c r="R30" i="4" s="1"/>
  <c r="R31" i="4" s="1"/>
  <c r="S29" i="4"/>
  <c r="S30" i="4" s="1"/>
  <c r="T29" i="4"/>
  <c r="T30" i="4" s="1"/>
  <c r="U29" i="4"/>
  <c r="V29" i="4"/>
  <c r="S31" i="4"/>
  <c r="T31" i="4"/>
  <c r="E31" i="4"/>
  <c r="C29" i="4"/>
  <c r="O28" i="4"/>
  <c r="M28" i="4"/>
  <c r="N28" i="4"/>
  <c r="P28" i="4"/>
  <c r="F26" i="4"/>
  <c r="F27" i="4" s="1"/>
  <c r="F28" i="4" s="1"/>
  <c r="G26" i="4"/>
  <c r="G27" i="4" s="1"/>
  <c r="G28" i="4" s="1"/>
  <c r="H26" i="4"/>
  <c r="H27" i="4" s="1"/>
  <c r="H28" i="4" s="1"/>
  <c r="I26" i="4"/>
  <c r="I27" i="4" s="1"/>
  <c r="I28" i="4" s="1"/>
  <c r="J26" i="4"/>
  <c r="J27" i="4" s="1"/>
  <c r="J28" i="4" s="1"/>
  <c r="K26" i="4"/>
  <c r="K27" i="4" s="1"/>
  <c r="K28" i="4" s="1"/>
  <c r="L26" i="4"/>
  <c r="L27" i="4" s="1"/>
  <c r="L28" i="4" s="1"/>
  <c r="M26" i="4"/>
  <c r="M27" i="4" s="1"/>
  <c r="N26" i="4"/>
  <c r="N27" i="4" s="1"/>
  <c r="O26" i="4"/>
  <c r="O27" i="4" s="1"/>
  <c r="P26" i="4"/>
  <c r="P27" i="4" s="1"/>
  <c r="Q26" i="4"/>
  <c r="Q27" i="4" s="1"/>
  <c r="Q28" i="4" s="1"/>
  <c r="R26" i="4"/>
  <c r="R27" i="4" s="1"/>
  <c r="R28" i="4" s="1"/>
  <c r="S26" i="4"/>
  <c r="S27" i="4" s="1"/>
  <c r="S28" i="4" s="1"/>
  <c r="T26" i="4"/>
  <c r="T27" i="4" s="1"/>
  <c r="T28" i="4" s="1"/>
  <c r="U26" i="4"/>
  <c r="U27" i="4" s="1"/>
  <c r="U28" i="4" s="1"/>
  <c r="V26" i="4"/>
  <c r="V27" i="4" s="1"/>
  <c r="V28" i="4" s="1"/>
  <c r="E26" i="4"/>
  <c r="E27" i="4" s="1"/>
  <c r="E28" i="4" s="1"/>
  <c r="D26" i="4"/>
  <c r="D27" i="4" s="1"/>
  <c r="D28" i="4" s="1"/>
  <c r="C26" i="4"/>
  <c r="C27" i="4" s="1"/>
  <c r="C28" i="4" s="1"/>
  <c r="B26" i="4"/>
  <c r="B27" i="4" s="1"/>
  <c r="B28" i="4" s="1"/>
  <c r="C34" i="4"/>
  <c r="D34" i="4"/>
  <c r="E34" i="4"/>
  <c r="F34" i="4"/>
  <c r="G34" i="4"/>
  <c r="H34" i="4"/>
  <c r="I34" i="4"/>
  <c r="J34" i="4"/>
  <c r="K34" i="4"/>
  <c r="P34" i="4"/>
  <c r="Q34" i="4"/>
  <c r="U34" i="4"/>
  <c r="V34" i="4"/>
  <c r="B34" i="4"/>
  <c r="S34" i="4"/>
  <c r="T34" i="4"/>
  <c r="G31" i="4"/>
  <c r="H31" i="4"/>
  <c r="N31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U13" i="4"/>
  <c r="V13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U14" i="4"/>
  <c r="V14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U15" i="4"/>
  <c r="V15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U16" i="4"/>
  <c r="V16" i="4"/>
  <c r="B18" i="4"/>
  <c r="B20" i="4" s="1"/>
  <c r="C18" i="4"/>
  <c r="C20" i="4" s="1"/>
  <c r="D18" i="4"/>
  <c r="D20" i="4" s="1"/>
  <c r="E18" i="4"/>
  <c r="E19" i="4" s="1"/>
  <c r="E21" i="4" s="1"/>
  <c r="F18" i="4"/>
  <c r="F19" i="4" s="1"/>
  <c r="F21" i="4" s="1"/>
  <c r="G18" i="4"/>
  <c r="G20" i="4" s="1"/>
  <c r="H18" i="4"/>
  <c r="H19" i="4" s="1"/>
  <c r="H21" i="4" s="1"/>
  <c r="I18" i="4"/>
  <c r="I20" i="4" s="1"/>
  <c r="J18" i="4"/>
  <c r="J20" i="4" s="1"/>
  <c r="K18" i="4"/>
  <c r="K19" i="4" s="1"/>
  <c r="K21" i="4" s="1"/>
  <c r="L18" i="4"/>
  <c r="L20" i="4" s="1"/>
  <c r="M18" i="4"/>
  <c r="M20" i="4" s="1"/>
  <c r="N18" i="4"/>
  <c r="N19" i="4" s="1"/>
  <c r="N21" i="4" s="1"/>
  <c r="O18" i="4"/>
  <c r="O20" i="4" s="1"/>
  <c r="P18" i="4"/>
  <c r="P20" i="4" s="1"/>
  <c r="Q18" i="4"/>
  <c r="Q20" i="4" s="1"/>
  <c r="R18" i="4"/>
  <c r="R19" i="4" s="1"/>
  <c r="R21" i="4" s="1"/>
  <c r="S18" i="4"/>
  <c r="S20" i="4" s="1"/>
  <c r="T18" i="4"/>
  <c r="T20" i="4" s="1"/>
  <c r="U18" i="4"/>
  <c r="U20" i="4" s="1"/>
  <c r="V18" i="4"/>
  <c r="V19" i="4" s="1"/>
  <c r="V21" i="4" s="1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U23" i="4"/>
  <c r="V23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B29" i="4"/>
  <c r="B30" i="4" s="1"/>
  <c r="B31" i="4" s="1"/>
  <c r="F31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K39" i="4"/>
  <c r="L39" i="4"/>
  <c r="M39" i="4"/>
  <c r="N39" i="4"/>
  <c r="O39" i="4"/>
  <c r="P39" i="4"/>
  <c r="Q39" i="4"/>
  <c r="R39" i="4"/>
  <c r="S39" i="4"/>
  <c r="U39" i="4"/>
  <c r="V39" i="4"/>
  <c r="R35" i="4" l="1"/>
  <c r="M30" i="4"/>
  <c r="M31" i="4" s="1"/>
  <c r="M35" i="4" s="1"/>
  <c r="L30" i="4"/>
  <c r="L31" i="4" s="1"/>
  <c r="L35" i="4" s="1"/>
  <c r="C30" i="4"/>
  <c r="C31" i="4" s="1"/>
  <c r="C35" i="4" s="1"/>
  <c r="K30" i="4"/>
  <c r="K31" i="4" s="1"/>
  <c r="K35" i="4" s="1"/>
  <c r="J30" i="4"/>
  <c r="J31" i="4" s="1"/>
  <c r="J35" i="4" s="1"/>
  <c r="O19" i="4"/>
  <c r="O21" i="4" s="1"/>
  <c r="V30" i="4"/>
  <c r="V31" i="4" s="1"/>
  <c r="V35" i="4" s="1"/>
  <c r="U30" i="4"/>
  <c r="U31" i="4" s="1"/>
  <c r="U35" i="4" s="1"/>
  <c r="Q19" i="4"/>
  <c r="Q21" i="4" s="1"/>
  <c r="P19" i="4"/>
  <c r="P21" i="4" s="1"/>
  <c r="I19" i="4"/>
  <c r="I21" i="4" s="1"/>
  <c r="N35" i="4"/>
  <c r="F35" i="4"/>
  <c r="G35" i="4"/>
  <c r="H35" i="4"/>
  <c r="D19" i="4"/>
  <c r="D21" i="4" s="1"/>
  <c r="T35" i="4"/>
  <c r="S35" i="4"/>
  <c r="O35" i="4"/>
  <c r="C19" i="4"/>
  <c r="C21" i="4" s="1"/>
  <c r="I35" i="4"/>
  <c r="P35" i="4"/>
  <c r="Q35" i="4"/>
  <c r="D35" i="4"/>
  <c r="E35" i="4"/>
  <c r="B35" i="4"/>
  <c r="S19" i="4"/>
  <c r="S21" i="4" s="1"/>
  <c r="T19" i="4"/>
  <c r="T21" i="4" s="1"/>
  <c r="L19" i="4"/>
  <c r="L21" i="4" s="1"/>
  <c r="U19" i="4"/>
  <c r="U21" i="4" s="1"/>
  <c r="V20" i="4"/>
  <c r="M19" i="4"/>
  <c r="M21" i="4" s="1"/>
  <c r="K20" i="4"/>
  <c r="G19" i="4"/>
  <c r="G21" i="4" s="1"/>
  <c r="H20" i="4"/>
  <c r="B19" i="4"/>
  <c r="B21" i="4" s="1"/>
  <c r="F20" i="4"/>
  <c r="N20" i="4"/>
  <c r="J19" i="4"/>
  <c r="J21" i="4" s="1"/>
  <c r="E20" i="4"/>
  <c r="R20" i="4"/>
  <c r="F20" i="5"/>
  <c r="E20" i="5"/>
  <c r="D20" i="5"/>
  <c r="C20" i="5"/>
  <c r="B20" i="5"/>
  <c r="B17" i="5"/>
  <c r="E16" i="5"/>
  <c r="D16" i="5"/>
  <c r="B16" i="5"/>
  <c r="F12" i="5"/>
  <c r="B12" i="5"/>
  <c r="B8" i="5"/>
  <c r="F7" i="5"/>
  <c r="E7" i="5"/>
  <c r="D7" i="5"/>
  <c r="B7" i="5"/>
  <c r="F6" i="5"/>
  <c r="E6" i="5"/>
  <c r="D6" i="5"/>
  <c r="C6" i="5"/>
  <c r="B6" i="5"/>
  <c r="F16" i="5"/>
  <c r="C16" i="5"/>
  <c r="E12" i="5"/>
  <c r="D12" i="5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D44" i="2" s="1"/>
  <c r="C43" i="2"/>
  <c r="B43" i="2"/>
  <c r="V28" i="2"/>
  <c r="U28" i="2"/>
  <c r="T28" i="2"/>
  <c r="T44" i="2" s="1"/>
  <c r="T45" i="2" s="1"/>
  <c r="S28" i="2"/>
  <c r="R28" i="2"/>
  <c r="R44" i="2" s="1"/>
  <c r="R45" i="2" s="1"/>
  <c r="Q28" i="2"/>
  <c r="P28" i="2"/>
  <c r="P44" i="2" s="1"/>
  <c r="O28" i="2"/>
  <c r="O44" i="2" s="1"/>
  <c r="N28" i="2"/>
  <c r="N44" i="2" s="1"/>
  <c r="M28" i="2"/>
  <c r="M44" i="2" s="1"/>
  <c r="L28" i="2"/>
  <c r="L44" i="2" s="1"/>
  <c r="L45" i="2" s="1"/>
  <c r="K28" i="2"/>
  <c r="J28" i="2"/>
  <c r="J44" i="2" s="1"/>
  <c r="J45" i="2" s="1"/>
  <c r="I28" i="2"/>
  <c r="H28" i="2"/>
  <c r="H44" i="2" s="1"/>
  <c r="G28" i="2"/>
  <c r="G44" i="2" s="1"/>
  <c r="F28" i="2"/>
  <c r="E28" i="2"/>
  <c r="D28" i="2"/>
  <c r="C28" i="2"/>
  <c r="C44" i="2" s="1"/>
  <c r="C45" i="2" s="1"/>
  <c r="B2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C26" i="1"/>
  <c r="G25" i="1"/>
  <c r="F25" i="1"/>
  <c r="E25" i="1"/>
  <c r="D25" i="1"/>
  <c r="C25" i="1"/>
  <c r="B25" i="1"/>
  <c r="T24" i="1"/>
  <c r="S24" i="1"/>
  <c r="R24" i="1"/>
  <c r="P24" i="1"/>
  <c r="O24" i="1"/>
  <c r="N24" i="1"/>
  <c r="M24" i="1"/>
  <c r="L24" i="1"/>
  <c r="K24" i="1"/>
  <c r="H24" i="1"/>
  <c r="G24" i="1"/>
  <c r="E24" i="1"/>
  <c r="D24" i="1"/>
  <c r="C24" i="1"/>
  <c r="B24" i="1"/>
  <c r="L18" i="1"/>
  <c r="G18" i="1"/>
  <c r="G26" i="1" s="1"/>
  <c r="F18" i="1"/>
  <c r="E18" i="1"/>
  <c r="D18" i="1"/>
  <c r="C18" i="1"/>
  <c r="B18" i="1"/>
  <c r="V16" i="1"/>
  <c r="U16" i="1"/>
  <c r="F8" i="5" s="1"/>
  <c r="T16" i="1"/>
  <c r="S16" i="1"/>
  <c r="R16" i="1"/>
  <c r="Q16" i="1"/>
  <c r="P16" i="1"/>
  <c r="O16" i="1"/>
  <c r="O18" i="1" s="1"/>
  <c r="N16" i="1"/>
  <c r="M16" i="1"/>
  <c r="L16" i="1"/>
  <c r="K16" i="1"/>
  <c r="J16" i="1"/>
  <c r="J25" i="1" s="1"/>
  <c r="H16" i="1"/>
  <c r="G16" i="1"/>
  <c r="V7" i="1"/>
  <c r="V24" i="1" s="1"/>
  <c r="U7" i="1"/>
  <c r="U24" i="1" s="1"/>
  <c r="T7" i="1"/>
  <c r="S7" i="1"/>
  <c r="R7" i="1"/>
  <c r="Q7" i="1"/>
  <c r="P7" i="1"/>
  <c r="O7" i="1"/>
  <c r="N7" i="1"/>
  <c r="M7" i="1"/>
  <c r="L7" i="1"/>
  <c r="K7" i="1"/>
  <c r="J7" i="1"/>
  <c r="I7" i="1"/>
  <c r="I16" i="1" s="1"/>
  <c r="H7" i="1"/>
  <c r="G7" i="1"/>
  <c r="F7" i="1"/>
  <c r="F26" i="1" l="1"/>
  <c r="F15" i="4"/>
  <c r="F14" i="4"/>
  <c r="F16" i="4"/>
  <c r="J39" i="4"/>
  <c r="B9" i="5"/>
  <c r="E14" i="4"/>
  <c r="B13" i="5" s="1"/>
  <c r="E16" i="4"/>
  <c r="I39" i="4"/>
  <c r="E15" i="4"/>
  <c r="E26" i="1"/>
  <c r="D14" i="4"/>
  <c r="D15" i="4"/>
  <c r="H39" i="4"/>
  <c r="D16" i="4"/>
  <c r="D26" i="1"/>
  <c r="C14" i="4"/>
  <c r="G39" i="4"/>
  <c r="C15" i="4"/>
  <c r="C16" i="4"/>
  <c r="B26" i="1"/>
  <c r="B14" i="4"/>
  <c r="B15" i="4"/>
  <c r="B16" i="4"/>
  <c r="F39" i="4"/>
  <c r="T18" i="1"/>
  <c r="T26" i="1" s="1"/>
  <c r="T23" i="4"/>
  <c r="T13" i="4"/>
  <c r="N45" i="2"/>
  <c r="D45" i="2"/>
  <c r="E44" i="2"/>
  <c r="E45" i="2" s="1"/>
  <c r="M45" i="2"/>
  <c r="S44" i="2"/>
  <c r="S45" i="2" s="1"/>
  <c r="C21" i="5"/>
  <c r="H45" i="2"/>
  <c r="U44" i="2"/>
  <c r="U45" i="2" s="1"/>
  <c r="G45" i="2"/>
  <c r="I44" i="2"/>
  <c r="I45" i="2" s="1"/>
  <c r="O45" i="2"/>
  <c r="P45" i="2"/>
  <c r="K44" i="2"/>
  <c r="K45" i="2" s="1"/>
  <c r="Q44" i="2"/>
  <c r="Q45" i="2" s="1"/>
  <c r="C8" i="5"/>
  <c r="I18" i="1"/>
  <c r="I25" i="1"/>
  <c r="H25" i="1"/>
  <c r="V44" i="2"/>
  <c r="V45" i="2" s="1"/>
  <c r="J24" i="1"/>
  <c r="I24" i="1"/>
  <c r="F22" i="5"/>
  <c r="F21" i="5"/>
  <c r="O26" i="1"/>
  <c r="H18" i="1"/>
  <c r="J18" i="1"/>
  <c r="K25" i="1"/>
  <c r="L25" i="1"/>
  <c r="K18" i="1"/>
  <c r="B44" i="2"/>
  <c r="B45" i="2" s="1"/>
  <c r="M18" i="1"/>
  <c r="D8" i="5"/>
  <c r="M25" i="1"/>
  <c r="C12" i="5"/>
  <c r="C7" i="5"/>
  <c r="L26" i="1"/>
  <c r="N25" i="1"/>
  <c r="N18" i="1"/>
  <c r="F44" i="2"/>
  <c r="F45" i="2" s="1"/>
  <c r="F24" i="1"/>
  <c r="O25" i="1"/>
  <c r="S18" i="1"/>
  <c r="E8" i="5"/>
  <c r="U18" i="1"/>
  <c r="S25" i="1"/>
  <c r="V18" i="1"/>
  <c r="T25" i="1"/>
  <c r="Q18" i="1"/>
  <c r="P25" i="1"/>
  <c r="Q25" i="1"/>
  <c r="U25" i="1"/>
  <c r="P18" i="1"/>
  <c r="R25" i="1"/>
  <c r="V25" i="1"/>
  <c r="R18" i="1"/>
  <c r="T39" i="4" l="1"/>
  <c r="T14" i="4"/>
  <c r="T15" i="4"/>
  <c r="T16" i="4"/>
  <c r="C22" i="5"/>
  <c r="H26" i="1"/>
  <c r="D21" i="5"/>
  <c r="D22" i="5"/>
  <c r="E9" i="5"/>
  <c r="Q26" i="1"/>
  <c r="E17" i="5"/>
  <c r="E13" i="5"/>
  <c r="K26" i="1"/>
  <c r="D17" i="5"/>
  <c r="D9" i="5"/>
  <c r="M26" i="1"/>
  <c r="D13" i="5"/>
  <c r="E22" i="5"/>
  <c r="E21" i="5"/>
  <c r="N26" i="1"/>
  <c r="R26" i="1"/>
  <c r="V26" i="1"/>
  <c r="B21" i="5"/>
  <c r="B22" i="5"/>
  <c r="F17" i="5"/>
  <c r="F13" i="5"/>
  <c r="F9" i="5"/>
  <c r="J26" i="1"/>
  <c r="S26" i="1"/>
  <c r="C13" i="5"/>
  <c r="C9" i="5"/>
  <c r="C17" i="5"/>
  <c r="I26" i="1"/>
  <c r="P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Dawod</author>
  </authors>
  <commentList>
    <comment ref="B41" authorId="0" shapeId="0" xr:uid="{8D503CD2-7594-4B07-A02E-3C03809FCECB}">
      <text>
        <r>
          <rPr>
            <b/>
            <sz val="9"/>
            <color indexed="81"/>
            <rFont val="Tahoma"/>
            <charset val="178"/>
          </rPr>
          <t>Ahmed Dawod:</t>
        </r>
        <r>
          <rPr>
            <sz val="9"/>
            <color indexed="81"/>
            <rFont val="Tahoma"/>
            <charset val="178"/>
          </rPr>
          <t xml:space="preserve">
Source: Investing.com EGX:EFID, https://www.investing.com/equities/edita-food-industries — last close 29.14 EGP as of 22 Jun 2026</t>
        </r>
      </text>
    </comment>
  </commentList>
</comments>
</file>

<file path=xl/sharedStrings.xml><?xml version="1.0" encoding="utf-8"?>
<sst xmlns="http://schemas.openxmlformats.org/spreadsheetml/2006/main" count="233" uniqueCount="164">
  <si>
    <t>EDITA FOOD INDUSTRIES — Consolidated Income Statement</t>
  </si>
  <si>
    <t>EGP</t>
  </si>
  <si>
    <t>Q1 2021</t>
  </si>
  <si>
    <t>Q2 2021</t>
  </si>
  <si>
    <t>Q3 2021</t>
  </si>
  <si>
    <t>FY2021</t>
  </si>
  <si>
    <t>Q1 2022</t>
  </si>
  <si>
    <t>Q2 2022</t>
  </si>
  <si>
    <t>Q3 2022</t>
  </si>
  <si>
    <t>FY2022</t>
  </si>
  <si>
    <t>Q1 2023</t>
  </si>
  <si>
    <t>Q2 2023</t>
  </si>
  <si>
    <t>Q3 2023</t>
  </si>
  <si>
    <t>FY2023</t>
  </si>
  <si>
    <t>Q1 2024</t>
  </si>
  <si>
    <t>Q2 2024</t>
  </si>
  <si>
    <t>Q3 2024</t>
  </si>
  <si>
    <t>FY2024</t>
  </si>
  <si>
    <t>Q1 2025</t>
  </si>
  <si>
    <t>Q2 2025</t>
  </si>
  <si>
    <t>Q3 2025</t>
  </si>
  <si>
    <t>FY2025</t>
  </si>
  <si>
    <t>Q1 2026</t>
  </si>
  <si>
    <t>Revenue</t>
  </si>
  <si>
    <t>Cost of sales</t>
  </si>
  <si>
    <t>Gross profit</t>
  </si>
  <si>
    <t>Distribution cost</t>
  </si>
  <si>
    <t>Administrative expenses</t>
  </si>
  <si>
    <t>Provisions (employee/inventory/ECL/other)</t>
  </si>
  <si>
    <t>Other income / (losses), net</t>
  </si>
  <si>
    <t>Finance income</t>
  </si>
  <si>
    <t>Finance cost</t>
  </si>
  <si>
    <t>FX gains / (losses)</t>
  </si>
  <si>
    <t>Share of JV / FVTPL / one-offs</t>
  </si>
  <si>
    <t>Profit before income tax</t>
  </si>
  <si>
    <t>Income tax expense</t>
  </si>
  <si>
    <t>Net profit for the period</t>
  </si>
  <si>
    <t xml:space="preserve">  Owners of the parent</t>
  </si>
  <si>
    <t xml:space="preserve">  Non-controlling interest</t>
  </si>
  <si>
    <t>Earnings per share (EGP)</t>
  </si>
  <si>
    <t>PROFITABILITY MARGINS</t>
  </si>
  <si>
    <t>Gross margin %</t>
  </si>
  <si>
    <t>PBT margin %</t>
  </si>
  <si>
    <t>Net margin %</t>
  </si>
  <si>
    <t>EDITA FOOD INDUSTRIES — Consolidated Balance Sheet</t>
  </si>
  <si>
    <t>ASSETS</t>
  </si>
  <si>
    <t>Property, plant &amp; equipment</t>
  </si>
  <si>
    <t>Right-of-use assets</t>
  </si>
  <si>
    <t>Intangible assets &amp; goodwill</t>
  </si>
  <si>
    <t>Investment in joint venture</t>
  </si>
  <si>
    <t>Deferred tax assets</t>
  </si>
  <si>
    <t>Inventories</t>
  </si>
  <si>
    <t>Trade &amp; other receivables</t>
  </si>
  <si>
    <t>Other debit balances</t>
  </si>
  <si>
    <t>Due from related parties</t>
  </si>
  <si>
    <t>Financial assets — amortized cost</t>
  </si>
  <si>
    <t>Financial assets — FVTPL</t>
  </si>
  <si>
    <t>Cash &amp; cash equivalents</t>
  </si>
  <si>
    <t>TOTAL ASSETS</t>
  </si>
  <si>
    <t>EQUITY</t>
  </si>
  <si>
    <t>Share capital</t>
  </si>
  <si>
    <t>Amounts under capital increase</t>
  </si>
  <si>
    <t>Legal reserve</t>
  </si>
  <si>
    <t>Cumulative translation reserve</t>
  </si>
  <si>
    <t>Transactions with NCI</t>
  </si>
  <si>
    <t>Treasury shares</t>
  </si>
  <si>
    <t>Retained earnings</t>
  </si>
  <si>
    <t>Non-controlling interests</t>
  </si>
  <si>
    <t>TOTAL EQUITY</t>
  </si>
  <si>
    <t>LIABILITIES</t>
  </si>
  <si>
    <t>Borrowings — non-current</t>
  </si>
  <si>
    <t>Deferred govt grants — non-current</t>
  </si>
  <si>
    <t>Employee benefit obligations</t>
  </si>
  <si>
    <t>Deferred tax liabilities</t>
  </si>
  <si>
    <t>Lease liabilities — non-current</t>
  </si>
  <si>
    <t>Provisions</t>
  </si>
  <si>
    <t>Bank overdraft</t>
  </si>
  <si>
    <t>Trade &amp; other payables</t>
  </si>
  <si>
    <t>Other credit balances</t>
  </si>
  <si>
    <t>Current portion of borrowings</t>
  </si>
  <si>
    <t>Current portion of govt grants</t>
  </si>
  <si>
    <t>Current income tax liabilities</t>
  </si>
  <si>
    <t>Lease liabilities — current</t>
  </si>
  <si>
    <t>TOTAL LIABILITIES</t>
  </si>
  <si>
    <t>TOTAL EQUITY &amp; LIABILITIES</t>
  </si>
  <si>
    <t>Balance check (=0)</t>
  </si>
  <si>
    <t>EDITA FOOD INDUSTRIES — Consolidated Cash Flows</t>
  </si>
  <si>
    <t>Reporting basis</t>
  </si>
  <si>
    <t>3M</t>
  </si>
  <si>
    <t>FY</t>
  </si>
  <si>
    <t>OPERATING ACTIVITIES</t>
  </si>
  <si>
    <t>Depreciation — PP&amp;E</t>
  </si>
  <si>
    <t>Depreciation — right-of-use</t>
  </si>
  <si>
    <t>Amortization — intangibles</t>
  </si>
  <si>
    <t>Interest expense</t>
  </si>
  <si>
    <t>Interest income</t>
  </si>
  <si>
    <t>Net cash from operating activities</t>
  </si>
  <si>
    <t>INVESTING ACTIVITIES</t>
  </si>
  <si>
    <t>Capex — PP&amp;E</t>
  </si>
  <si>
    <t>Purchase of intangibles</t>
  </si>
  <si>
    <t>Proceeds — PP&amp;E sale</t>
  </si>
  <si>
    <t>Interest received</t>
  </si>
  <si>
    <t>Treasury bills purchased</t>
  </si>
  <si>
    <t>Treasury bills sold</t>
  </si>
  <si>
    <t>Net cash from investing activities</t>
  </si>
  <si>
    <t>FINANCING ACTIVITIES</t>
  </si>
  <si>
    <t>Dividends paid</t>
  </si>
  <si>
    <t>Treasury shares purchased</t>
  </si>
  <si>
    <t>Borrowings — proceeds</t>
  </si>
  <si>
    <t>Borrowings — repayment</t>
  </si>
  <si>
    <t>Net cash from financing activities</t>
  </si>
  <si>
    <t>NET MOVEMENT</t>
  </si>
  <si>
    <t>Net change in cash</t>
  </si>
  <si>
    <t>Cash at beginning of period</t>
  </si>
  <si>
    <t>FX effect on cash</t>
  </si>
  <si>
    <t>Cash at end of period</t>
  </si>
  <si>
    <t>EDITA FOOD INDUSTRIES — Financial Ratio Analysis</t>
  </si>
  <si>
    <t>Annualisation factor (×)</t>
  </si>
  <si>
    <t>LIQUIDITY</t>
  </si>
  <si>
    <t>Current ratio (x)</t>
  </si>
  <si>
    <t>Quick ratio (x)</t>
  </si>
  <si>
    <t>Cash ratio (x)</t>
  </si>
  <si>
    <t>Net working capital (EGP)</t>
  </si>
  <si>
    <t>PROFITABILITY</t>
  </si>
  <si>
    <t>Operating margin % (PBT-based)</t>
  </si>
  <si>
    <t>Return on assets (ROA) % — annualised</t>
  </si>
  <si>
    <t>Return on equity (ROE) % — annualised</t>
  </si>
  <si>
    <t>LEVERAGE &amp; SOLVENCY</t>
  </si>
  <si>
    <t>Total debt (EGP)</t>
  </si>
  <si>
    <t>Net debt (EGP)</t>
  </si>
  <si>
    <t>Debt / Equity (x)</t>
  </si>
  <si>
    <t>Net debt / Equity (x)</t>
  </si>
  <si>
    <t>Equity / Assets %</t>
  </si>
  <si>
    <t>Interest coverage (x)</t>
  </si>
  <si>
    <t>EFFICIENCY (flows annualised ×factor)</t>
  </si>
  <si>
    <t>Asset turnover (x)</t>
  </si>
  <si>
    <t>Inventory turnover (x)</t>
  </si>
  <si>
    <t>Days inventory (DIO)</t>
  </si>
  <si>
    <t>Days sales outstanding (DSO)</t>
  </si>
  <si>
    <t>PER-SHARE &amp; GROWTH</t>
  </si>
  <si>
    <t>EPS (EGP)</t>
  </si>
  <si>
    <t>Revenue growth YoY %</t>
  </si>
  <si>
    <t>Net profit growth YoY %</t>
  </si>
  <si>
    <t>EDITA FOOD INDUSTRIES — Annual Performance Dashboard</t>
  </si>
  <si>
    <t>INCOME</t>
  </si>
  <si>
    <t>PBT</t>
  </si>
  <si>
    <t>Net profit</t>
  </si>
  <si>
    <t>MARGINS</t>
  </si>
  <si>
    <t>GROWTH (YoY)</t>
  </si>
  <si>
    <t>Revenue growth %</t>
  </si>
  <si>
    <t>Net profit growth %</t>
  </si>
  <si>
    <t>CASH &amp; LEVERAGE</t>
  </si>
  <si>
    <t>Operating cash flow</t>
  </si>
  <si>
    <t>Net debt</t>
  </si>
  <si>
    <t>Cash Conversion Cycle (CCC)</t>
  </si>
  <si>
    <t>Days Payable Outstanding (DPO)</t>
  </si>
  <si>
    <t>Payables Turnover</t>
  </si>
  <si>
    <t>Avg.Inventory (EGP)</t>
  </si>
  <si>
    <t>Avg.Receivables (EGP)</t>
  </si>
  <si>
    <t>Avg.Payables (EGP)</t>
  </si>
  <si>
    <t>Receivables turnover (x)</t>
  </si>
  <si>
    <t>MARKET VALUATION</t>
  </si>
  <si>
    <t>Share price (EGP) — current</t>
  </si>
  <si>
    <t>P/S (x) — current price × shares ÷ annualised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</si>
</sst>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–"/>
    <numFmt numFmtId="165" formatCode="0.0%;\(0.0%\);\–"/>
    <numFmt numFmtId="166" formatCode="#,##0.0;\(#,##0.0\);\–"/>
    <numFmt numFmtId="167" formatCode="#,##0.00;\(#,##0.00\);\–"/>
    <numFmt numFmtId="168" formatCode="0.00&quot;x&quot;"/>
  </numFmts>
  <fonts count="21" x14ac:knownFonts="1">
    <font>
      <sz val="11"/>
      <color theme="1"/>
      <name val="Calibri"/>
      <family val="2"/>
      <charset val="1"/>
    </font>
    <font>
      <b/>
      <sz val="15"/>
      <color rgb="FF0B2545"/>
      <name val="Aptos"/>
      <charset val="1"/>
    </font>
    <font>
      <i/>
      <sz val="9"/>
      <color rgb="FF6B7280"/>
      <name val="Aptos Narrow"/>
      <charset val="1"/>
    </font>
    <font>
      <b/>
      <i/>
      <sz val="10"/>
      <color theme="0"/>
      <name val="Aptos Narrow"/>
      <family val="2"/>
      <charset val="1"/>
    </font>
    <font>
      <b/>
      <i/>
      <sz val="9"/>
      <color theme="0"/>
      <name val="Aptos Narrow"/>
      <family val="2"/>
      <charset val="1"/>
    </font>
    <font>
      <sz val="10"/>
      <color rgb="FF1A1A1A"/>
      <name val="Aptos Narrow"/>
      <charset val="1"/>
    </font>
    <font>
      <b/>
      <sz val="10"/>
      <color rgb="FF0B2545"/>
      <name val="Aptos Narrow"/>
      <charset val="1"/>
    </font>
    <font>
      <b/>
      <i/>
      <sz val="10"/>
      <color rgb="FF1A1A1A"/>
      <name val="Aptos Narrow"/>
      <charset val="1"/>
    </font>
    <font>
      <b/>
      <sz val="15"/>
      <color theme="0"/>
      <name val="Aptos"/>
      <family val="2"/>
      <charset val="1"/>
    </font>
    <font>
      <sz val="11"/>
      <color theme="0"/>
      <name val="Calibri"/>
      <family val="2"/>
      <charset val="178"/>
    </font>
    <font>
      <i/>
      <sz val="8"/>
      <color rgb="FF6B7280"/>
      <name val="Aptos Narrow"/>
      <charset val="1"/>
    </font>
    <font>
      <b/>
      <i/>
      <sz val="10"/>
      <color rgb="FFFFFFFF"/>
      <name val="Aptos Narrow"/>
      <charset val="1"/>
    </font>
    <font>
      <sz val="10"/>
      <color rgb="FF0B2545"/>
      <name val="Aptos Narrow"/>
      <charset val="1"/>
    </font>
    <font>
      <sz val="10"/>
      <color rgb="FF1A1A1A"/>
      <name val="Aptos Narrow"/>
      <family val="2"/>
    </font>
    <font>
      <b/>
      <u/>
      <sz val="10"/>
      <color rgb="FF0B2545"/>
      <name val="Aptos Narrow"/>
      <family val="2"/>
    </font>
    <font>
      <b/>
      <sz val="10"/>
      <color rgb="FF1A1A1A"/>
      <name val="Aptos Narrow"/>
      <charset val="1"/>
    </font>
    <font>
      <i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indexed="81"/>
      <name val="Tahoma"/>
      <charset val="178"/>
    </font>
    <font>
      <b/>
      <sz val="9"/>
      <color indexed="81"/>
      <name val="Tahoma"/>
      <charset val="178"/>
    </font>
  </fonts>
  <fills count="10">
    <fill>
      <patternFill patternType="none"/>
    </fill>
    <fill>
      <patternFill patternType="gray125"/>
    </fill>
    <fill>
      <patternFill patternType="solid">
        <fgColor rgb="FF0B2545"/>
        <bgColor rgb="FF13315C"/>
      </patternFill>
    </fill>
    <fill>
      <patternFill patternType="solid">
        <fgColor rgb="FF1D5B79"/>
        <bgColor rgb="FF008080"/>
      </patternFill>
    </fill>
    <fill>
      <patternFill patternType="solid">
        <fgColor rgb="FFEAF1F8"/>
        <bgColor rgb="FFD6E4F0"/>
      </patternFill>
    </fill>
    <fill>
      <patternFill patternType="solid">
        <fgColor rgb="FFD6E4F0"/>
        <bgColor rgb="FFEAF1F8"/>
      </patternFill>
    </fill>
    <fill>
      <patternFill patternType="solid">
        <fgColor rgb="FF13315C"/>
        <bgColor rgb="FF0B2545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9A227"/>
      </bottom>
      <diagonal/>
    </border>
    <border>
      <left style="thin">
        <color rgb="FFC7D2DE"/>
      </left>
      <right style="thin">
        <color rgb="FFC7D2DE"/>
      </right>
      <top style="thin">
        <color rgb="FFC7D2DE"/>
      </top>
      <bottom style="thin">
        <color rgb="FFC7D2DE"/>
      </bottom>
      <diagonal/>
    </border>
    <border>
      <left/>
      <right/>
      <top style="thin">
        <color rgb="FF0B2545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5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left" vertical="center"/>
    </xf>
    <xf numFmtId="164" fontId="6" fillId="5" borderId="0" xfId="0" applyNumberFormat="1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4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2" fontId="5" fillId="4" borderId="0" xfId="0" applyNumberFormat="1" applyFont="1" applyFill="1" applyAlignment="1">
      <alignment horizontal="right" vertical="center"/>
    </xf>
    <xf numFmtId="0" fontId="7" fillId="0" borderId="0" xfId="0" applyFont="1"/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right" vertical="center"/>
    </xf>
    <xf numFmtId="0" fontId="9" fillId="0" borderId="0" xfId="0" applyFont="1"/>
    <xf numFmtId="0" fontId="3" fillId="6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9" fillId="6" borderId="0" xfId="0" applyFont="1" applyFill="1"/>
    <xf numFmtId="0" fontId="0" fillId="4" borderId="0" xfId="0" applyFill="1" applyAlignment="1">
      <alignment horizontal="right" vertical="center"/>
    </xf>
    <xf numFmtId="164" fontId="6" fillId="5" borderId="3" xfId="0" applyNumberFormat="1" applyFont="1" applyFill="1" applyBorder="1" applyAlignment="1">
      <alignment horizontal="right" vertical="center"/>
    </xf>
    <xf numFmtId="1" fontId="5" fillId="0" borderId="0" xfId="0" applyNumberFormat="1" applyFont="1" applyAlignment="1">
      <alignment horizontal="center"/>
    </xf>
    <xf numFmtId="0" fontId="11" fillId="6" borderId="0" xfId="0" applyFont="1" applyFill="1" applyAlignment="1">
      <alignment horizontal="left" vertical="center"/>
    </xf>
    <xf numFmtId="166" fontId="11" fillId="6" borderId="0" xfId="0" applyNumberFormat="1" applyFont="1" applyFill="1" applyAlignment="1">
      <alignment horizontal="right" vertical="center"/>
    </xf>
    <xf numFmtId="0" fontId="11" fillId="6" borderId="0" xfId="0" applyFont="1" applyFill="1"/>
    <xf numFmtId="166" fontId="12" fillId="0" borderId="0" xfId="0" applyNumberFormat="1" applyFont="1" applyAlignment="1">
      <alignment horizontal="right" vertical="center"/>
    </xf>
    <xf numFmtId="166" fontId="12" fillId="0" borderId="0" xfId="0" applyNumberFormat="1" applyFont="1"/>
    <xf numFmtId="164" fontId="12" fillId="0" borderId="0" xfId="0" applyNumberFormat="1" applyFont="1"/>
    <xf numFmtId="165" fontId="11" fillId="6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5" fontId="12" fillId="0" borderId="0" xfId="0" applyNumberFormat="1" applyFont="1"/>
    <xf numFmtId="164" fontId="11" fillId="6" borderId="0" xfId="0" applyNumberFormat="1" applyFont="1" applyFill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2" fontId="11" fillId="6" borderId="0" xfId="0" applyNumberFormat="1" applyFont="1" applyFill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7" fontId="12" fillId="0" borderId="0" xfId="0" applyNumberFormat="1" applyFont="1"/>
    <xf numFmtId="0" fontId="5" fillId="0" borderId="0" xfId="0" applyFont="1"/>
    <xf numFmtId="0" fontId="7" fillId="6" borderId="0" xfId="0" applyFont="1" applyFill="1"/>
    <xf numFmtId="0" fontId="0" fillId="6" borderId="0" xfId="0" applyFill="1"/>
    <xf numFmtId="164" fontId="12" fillId="5" borderId="0" xfId="0" applyNumberFormat="1" applyFont="1" applyFill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165" fontId="14" fillId="7" borderId="0" xfId="0" applyNumberFormat="1" applyFont="1" applyFill="1" applyAlignment="1">
      <alignment horizontal="right" vertical="center"/>
    </xf>
    <xf numFmtId="165" fontId="14" fillId="0" borderId="0" xfId="0" applyNumberFormat="1" applyFont="1" applyAlignment="1">
      <alignment horizontal="right" vertical="center"/>
    </xf>
    <xf numFmtId="165" fontId="14" fillId="0" borderId="0" xfId="0" applyNumberFormat="1" applyFont="1"/>
    <xf numFmtId="0" fontId="15" fillId="8" borderId="0" xfId="0" applyFont="1" applyFill="1" applyAlignment="1">
      <alignment horizontal="left" vertical="center"/>
    </xf>
    <xf numFmtId="0" fontId="16" fillId="0" borderId="0" xfId="0" applyFont="1"/>
    <xf numFmtId="2" fontId="17" fillId="9" borderId="0" xfId="0" applyNumberFormat="1" applyFont="1" applyFill="1" applyAlignment="1">
      <alignment horizontal="right"/>
    </xf>
    <xf numFmtId="0" fontId="18" fillId="0" borderId="0" xfId="0" applyFont="1"/>
    <xf numFmtId="168" fontId="18" fillId="0" borderId="0" xfId="0" applyNumberFormat="1" applyFont="1"/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1E7B34"/>
        <name val="Aptos Narrow"/>
        <charset val="1"/>
      </font>
    </dxf>
    <dxf>
      <font>
        <b/>
        <sz val="10"/>
        <color rgb="FFB3261E"/>
        <name val="Aptos Narrow"/>
        <charset val="1"/>
      </font>
    </dxf>
    <dxf>
      <font>
        <b/>
        <sz val="10"/>
        <color rgb="FF1E7B34"/>
        <name val="Aptos Narrow"/>
        <charset val="1"/>
      </font>
    </dxf>
    <dxf>
      <font>
        <b/>
        <sz val="10"/>
        <color rgb="FFB3261E"/>
        <name val="Aptos Narrow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1D5B79"/>
      <rgbColor rgb="FFC0C0C0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7D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B7280"/>
      <rgbColor rgb="FF969696"/>
      <rgbColor rgb="FF13315C"/>
      <rgbColor rgb="FF339966"/>
      <rgbColor rgb="FF0B2545"/>
      <rgbColor rgb="FF333300"/>
      <rgbColor rgb="FFB3261E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AE9E50-D7C3-4B8F-B68F-4EB1E84FD66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abecf9e-657a-4462-bdab-160a82eea86c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2545"/>
  </sheetPr>
  <dimension ref="A1:V26"/>
  <sheetViews>
    <sheetView showGridLines="0" zoomScale="102" zoomScaleNormal="126" workbookViewId="0">
      <pane xSplit="1" ySplit="4" topLeftCell="E5" activePane="bottomRight" state="frozen"/>
      <selection pane="topRight" activeCell="B1" sqref="B1"/>
      <selection pane="bottomLeft" activeCell="A11" sqref="A11"/>
      <selection pane="bottomRight" activeCell="A2" sqref="A2:XFD2"/>
    </sheetView>
  </sheetViews>
  <sheetFormatPr defaultColWidth="8.6640625" defaultRowHeight="14.4" x14ac:dyDescent="0.3"/>
  <cols>
    <col min="1" max="1" width="34" customWidth="1"/>
    <col min="2" max="4" width="13.44140625" hidden="1" customWidth="1"/>
    <col min="5" max="5" width="13.44140625" customWidth="1"/>
    <col min="6" max="8" width="13.44140625" hidden="1" customWidth="1"/>
    <col min="9" max="9" width="13.44140625" customWidth="1"/>
    <col min="10" max="12" width="13.44140625" hidden="1" customWidth="1"/>
    <col min="13" max="13" width="13.44140625" customWidth="1"/>
    <col min="14" max="16" width="13.44140625" hidden="1" customWidth="1"/>
    <col min="17" max="17" width="14.5546875" customWidth="1"/>
    <col min="18" max="20" width="13.44140625" hidden="1" customWidth="1"/>
    <col min="21" max="21" width="14.5546875" customWidth="1"/>
    <col min="22" max="22" width="13.44140625" customWidth="1"/>
  </cols>
  <sheetData>
    <row r="1" spans="1:22" ht="24" customHeight="1" x14ac:dyDescent="0.3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spans="1:22" ht="15" customHeight="1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4" spans="1:22" ht="15" customHeigh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2" t="s">
        <v>6</v>
      </c>
      <c r="G4" s="2" t="s">
        <v>7</v>
      </c>
      <c r="H4" s="2" t="s">
        <v>8</v>
      </c>
      <c r="I4" s="3" t="s">
        <v>9</v>
      </c>
      <c r="J4" s="2" t="s">
        <v>10</v>
      </c>
      <c r="K4" s="2" t="s">
        <v>11</v>
      </c>
      <c r="L4" s="2" t="s">
        <v>12</v>
      </c>
      <c r="M4" s="3" t="s">
        <v>13</v>
      </c>
      <c r="N4" s="2" t="s">
        <v>14</v>
      </c>
      <c r="O4" s="2" t="s">
        <v>15</v>
      </c>
      <c r="P4" s="2" t="s">
        <v>16</v>
      </c>
      <c r="Q4" s="3" t="s">
        <v>17</v>
      </c>
      <c r="R4" s="2" t="s">
        <v>18</v>
      </c>
      <c r="S4" s="2" t="s">
        <v>19</v>
      </c>
      <c r="T4" s="2" t="s">
        <v>20</v>
      </c>
      <c r="U4" s="3" t="s">
        <v>21</v>
      </c>
      <c r="V4" s="2" t="s">
        <v>22</v>
      </c>
    </row>
    <row r="5" spans="1:22" ht="15" customHeight="1" x14ac:dyDescent="0.3">
      <c r="A5" s="4" t="s">
        <v>23</v>
      </c>
      <c r="B5" s="5">
        <v>1166337710</v>
      </c>
      <c r="C5" s="5">
        <v>1150796202</v>
      </c>
      <c r="D5" s="5">
        <v>1394672047</v>
      </c>
      <c r="E5" s="5">
        <v>5251215991</v>
      </c>
      <c r="F5" s="5">
        <v>1558959966</v>
      </c>
      <c r="G5" s="5">
        <v>1573182407</v>
      </c>
      <c r="H5" s="5">
        <v>2015568078</v>
      </c>
      <c r="I5" s="5">
        <v>7671100869</v>
      </c>
      <c r="J5" s="5">
        <v>2779712789</v>
      </c>
      <c r="K5" s="5">
        <v>2858073110</v>
      </c>
      <c r="L5" s="5">
        <v>3116192430</v>
      </c>
      <c r="M5" s="5">
        <v>12125997046</v>
      </c>
      <c r="N5" s="5">
        <v>3927474125</v>
      </c>
      <c r="O5" s="5">
        <v>4061659438</v>
      </c>
      <c r="P5" s="5">
        <v>3912039696</v>
      </c>
      <c r="Q5" s="5">
        <v>16146545699</v>
      </c>
      <c r="R5" s="5">
        <v>4283378973</v>
      </c>
      <c r="S5" s="5">
        <v>4963742378</v>
      </c>
      <c r="T5" s="5">
        <v>5493439566</v>
      </c>
      <c r="U5" s="5">
        <v>20915072432</v>
      </c>
      <c r="V5" s="5">
        <v>5770498985</v>
      </c>
    </row>
    <row r="6" spans="1:22" ht="15" customHeight="1" x14ac:dyDescent="0.3">
      <c r="A6" s="6" t="s">
        <v>24</v>
      </c>
      <c r="B6" s="7">
        <v>-768440654</v>
      </c>
      <c r="C6" s="7">
        <v>-812223682</v>
      </c>
      <c r="D6" s="7">
        <v>-983995047</v>
      </c>
      <c r="E6" s="7">
        <v>-3577853519</v>
      </c>
      <c r="F6" s="7">
        <v>-1002344966</v>
      </c>
      <c r="G6" s="7">
        <v>-1054444964</v>
      </c>
      <c r="H6" s="7">
        <v>-1334080177</v>
      </c>
      <c r="I6" s="7">
        <v>-5063343087</v>
      </c>
      <c r="J6" s="7">
        <v>-1900062715</v>
      </c>
      <c r="K6" s="7">
        <v>-1944563261</v>
      </c>
      <c r="L6" s="7">
        <v>-2082111236</v>
      </c>
      <c r="M6" s="7">
        <v>-8200709717</v>
      </c>
      <c r="N6" s="7">
        <v>-2725881009</v>
      </c>
      <c r="O6" s="7">
        <v>-2890469731</v>
      </c>
      <c r="P6" s="7">
        <v>-2691410970</v>
      </c>
      <c r="Q6" s="7">
        <v>-11240232913</v>
      </c>
      <c r="R6" s="7">
        <v>-2930074931</v>
      </c>
      <c r="S6" s="7">
        <v>-3298913868</v>
      </c>
      <c r="T6" s="7">
        <v>-3557144623</v>
      </c>
      <c r="U6" s="7">
        <v>-13723015211</v>
      </c>
      <c r="V6" s="7">
        <v>-3739501996</v>
      </c>
    </row>
    <row r="7" spans="1:22" ht="15" customHeight="1" x14ac:dyDescent="0.3">
      <c r="A7" s="8" t="s">
        <v>25</v>
      </c>
      <c r="B7" s="9">
        <f>SUM(B5:B6)</f>
        <v>397897056</v>
      </c>
      <c r="C7" s="9">
        <f>SUM(C5:C6)</f>
        <v>338572520</v>
      </c>
      <c r="D7" s="9">
        <f>SUM(D5:D6)</f>
        <v>410677000</v>
      </c>
      <c r="E7" s="9">
        <f>SUM(E5:E6)</f>
        <v>1673362472</v>
      </c>
      <c r="F7" s="9">
        <f t="shared" ref="F7:V7" si="0">SUM(F5:F6)</f>
        <v>556615000</v>
      </c>
      <c r="G7" s="9">
        <f t="shared" si="0"/>
        <v>518737443</v>
      </c>
      <c r="H7" s="9">
        <f t="shared" si="0"/>
        <v>681487901</v>
      </c>
      <c r="I7" s="9">
        <f t="shared" si="0"/>
        <v>2607757782</v>
      </c>
      <c r="J7" s="9">
        <f t="shared" si="0"/>
        <v>879650074</v>
      </c>
      <c r="K7" s="9">
        <f t="shared" si="0"/>
        <v>913509849</v>
      </c>
      <c r="L7" s="9">
        <f t="shared" si="0"/>
        <v>1034081194</v>
      </c>
      <c r="M7" s="9">
        <f t="shared" si="0"/>
        <v>3925287329</v>
      </c>
      <c r="N7" s="9">
        <f t="shared" si="0"/>
        <v>1201593116</v>
      </c>
      <c r="O7" s="9">
        <f t="shared" si="0"/>
        <v>1171189707</v>
      </c>
      <c r="P7" s="9">
        <f t="shared" si="0"/>
        <v>1220628726</v>
      </c>
      <c r="Q7" s="9">
        <f t="shared" si="0"/>
        <v>4906312786</v>
      </c>
      <c r="R7" s="9">
        <f t="shared" si="0"/>
        <v>1353304042</v>
      </c>
      <c r="S7" s="9">
        <f t="shared" si="0"/>
        <v>1664828510</v>
      </c>
      <c r="T7" s="9">
        <f t="shared" si="0"/>
        <v>1936294943</v>
      </c>
      <c r="U7" s="9">
        <f t="shared" si="0"/>
        <v>7192057221</v>
      </c>
      <c r="V7" s="9">
        <f t="shared" si="0"/>
        <v>2030996989</v>
      </c>
    </row>
    <row r="8" spans="1:22" ht="15" customHeight="1" x14ac:dyDescent="0.3">
      <c r="A8" s="4" t="s">
        <v>26</v>
      </c>
      <c r="B8" s="5">
        <v>-191997484</v>
      </c>
      <c r="C8" s="5">
        <v>-165341348</v>
      </c>
      <c r="D8" s="5">
        <v>-180819368</v>
      </c>
      <c r="E8" s="5">
        <v>-720231019</v>
      </c>
      <c r="F8" s="5">
        <v>-219534554</v>
      </c>
      <c r="G8" s="5">
        <v>-192858313</v>
      </c>
      <c r="H8" s="5">
        <v>-193725528</v>
      </c>
      <c r="I8" s="5">
        <v>-866522191</v>
      </c>
      <c r="J8" s="5">
        <v>-246921586</v>
      </c>
      <c r="K8" s="5">
        <v>-257345369</v>
      </c>
      <c r="L8" s="5">
        <v>-256784580</v>
      </c>
      <c r="M8" s="5">
        <v>-1131569626</v>
      </c>
      <c r="N8" s="5">
        <v>-370610483</v>
      </c>
      <c r="O8" s="5">
        <v>-383298922</v>
      </c>
      <c r="P8" s="5">
        <v>-388912381</v>
      </c>
      <c r="Q8" s="5">
        <v>-1662351937</v>
      </c>
      <c r="R8" s="5">
        <v>-405359258</v>
      </c>
      <c r="S8" s="5">
        <v>-501234785</v>
      </c>
      <c r="T8" s="5">
        <v>-569975752</v>
      </c>
      <c r="U8" s="5">
        <v>-1998186790</v>
      </c>
      <c r="V8" s="5">
        <v>-628390143</v>
      </c>
    </row>
    <row r="9" spans="1:22" ht="15" customHeight="1" x14ac:dyDescent="0.3">
      <c r="A9" s="6" t="s">
        <v>27</v>
      </c>
      <c r="B9" s="7">
        <v>-87015114</v>
      </c>
      <c r="C9" s="7">
        <v>-84896674</v>
      </c>
      <c r="D9" s="7">
        <v>-79576132</v>
      </c>
      <c r="E9" s="7">
        <v>-340281645</v>
      </c>
      <c r="F9" s="7">
        <v>-93457025</v>
      </c>
      <c r="G9" s="7">
        <v>-107892361</v>
      </c>
      <c r="H9" s="7">
        <v>-115374078</v>
      </c>
      <c r="I9" s="7">
        <v>-472877272</v>
      </c>
      <c r="J9" s="7">
        <v>-169207945</v>
      </c>
      <c r="K9" s="7">
        <v>-184917558</v>
      </c>
      <c r="L9" s="7">
        <v>-183440195</v>
      </c>
      <c r="M9" s="7">
        <v>-771817875</v>
      </c>
      <c r="N9" s="7">
        <v>-237566629</v>
      </c>
      <c r="O9" s="7">
        <v>-277590802</v>
      </c>
      <c r="P9" s="7">
        <v>-298343651</v>
      </c>
      <c r="Q9" s="7">
        <v>-1086699763</v>
      </c>
      <c r="R9" s="7">
        <v>-365906090</v>
      </c>
      <c r="S9" s="7">
        <v>-331880349</v>
      </c>
      <c r="T9" s="7">
        <v>-358453180</v>
      </c>
      <c r="U9" s="7">
        <v>-1398938050</v>
      </c>
      <c r="V9" s="7">
        <v>-444291046</v>
      </c>
    </row>
    <row r="10" spans="1:22" ht="15" customHeight="1" x14ac:dyDescent="0.3">
      <c r="A10" s="4" t="s">
        <v>28</v>
      </c>
      <c r="B10" s="5">
        <v>0</v>
      </c>
      <c r="C10" s="5">
        <v>0</v>
      </c>
      <c r="D10" s="5">
        <v>0</v>
      </c>
      <c r="E10" s="5">
        <v>0</v>
      </c>
      <c r="F10" s="5">
        <v>-2475000</v>
      </c>
      <c r="G10" s="5">
        <v>-2475000</v>
      </c>
      <c r="H10" s="5">
        <v>-2475000</v>
      </c>
      <c r="I10" s="5">
        <v>-15750024</v>
      </c>
      <c r="J10" s="5">
        <v>-3500000</v>
      </c>
      <c r="K10" s="5">
        <v>-5933520</v>
      </c>
      <c r="L10" s="5">
        <v>-6282020</v>
      </c>
      <c r="M10" s="5">
        <v>-29281140</v>
      </c>
      <c r="N10" s="5">
        <v>-7864140</v>
      </c>
      <c r="O10" s="5">
        <v>-10533241</v>
      </c>
      <c r="P10" s="5">
        <v>-9913063</v>
      </c>
      <c r="Q10" s="5">
        <v>-37203831</v>
      </c>
      <c r="R10" s="5">
        <v>-11219193</v>
      </c>
      <c r="S10" s="5">
        <v>-17671608</v>
      </c>
      <c r="T10" s="5">
        <v>-16573906</v>
      </c>
      <c r="U10" s="5">
        <v>-115594401</v>
      </c>
      <c r="V10" s="5">
        <v>21387282</v>
      </c>
    </row>
    <row r="11" spans="1:22" ht="15" customHeight="1" x14ac:dyDescent="0.3">
      <c r="A11" s="6" t="s">
        <v>29</v>
      </c>
      <c r="B11" s="7">
        <v>-6260398</v>
      </c>
      <c r="C11" s="7">
        <v>28478616</v>
      </c>
      <c r="D11" s="7">
        <v>-1693493</v>
      </c>
      <c r="E11" s="7">
        <v>19080386</v>
      </c>
      <c r="F11" s="7">
        <v>-4721214</v>
      </c>
      <c r="G11" s="7">
        <v>8040440</v>
      </c>
      <c r="H11" s="7">
        <v>2172180</v>
      </c>
      <c r="I11" s="7">
        <v>-22472688</v>
      </c>
      <c r="J11" s="7">
        <v>-15254361</v>
      </c>
      <c r="K11" s="7">
        <v>34583919</v>
      </c>
      <c r="L11" s="7">
        <v>-11664720</v>
      </c>
      <c r="M11" s="7">
        <v>12231620</v>
      </c>
      <c r="N11" s="7">
        <v>-11343235</v>
      </c>
      <c r="O11" s="7">
        <v>11091885</v>
      </c>
      <c r="P11" s="7">
        <v>29680264</v>
      </c>
      <c r="Q11" s="7">
        <v>16360427</v>
      </c>
      <c r="R11" s="7">
        <v>-6541682</v>
      </c>
      <c r="S11" s="7">
        <v>5738761</v>
      </c>
      <c r="T11" s="7">
        <v>7617288</v>
      </c>
      <c r="U11" s="7">
        <v>61145635</v>
      </c>
      <c r="V11" s="7">
        <v>8306938</v>
      </c>
    </row>
    <row r="12" spans="1:22" ht="15" customHeight="1" x14ac:dyDescent="0.3">
      <c r="A12" s="4" t="s">
        <v>30</v>
      </c>
      <c r="B12" s="5">
        <v>22291418</v>
      </c>
      <c r="C12" s="5">
        <v>15467880</v>
      </c>
      <c r="D12" s="5">
        <v>24742128</v>
      </c>
      <c r="E12" s="5">
        <v>77084184</v>
      </c>
      <c r="F12" s="5">
        <v>23618738</v>
      </c>
      <c r="G12" s="5">
        <v>21479920</v>
      </c>
      <c r="H12" s="5">
        <v>28299337</v>
      </c>
      <c r="I12" s="5">
        <v>111754605</v>
      </c>
      <c r="J12" s="5">
        <v>53442216</v>
      </c>
      <c r="K12" s="5">
        <v>54755400</v>
      </c>
      <c r="L12" s="5">
        <v>54777584</v>
      </c>
      <c r="M12" s="5">
        <v>213587378</v>
      </c>
      <c r="N12" s="5">
        <v>44882422</v>
      </c>
      <c r="O12" s="5">
        <v>18990518</v>
      </c>
      <c r="P12" s="5">
        <v>22766388</v>
      </c>
      <c r="Q12" s="5">
        <v>168265279</v>
      </c>
      <c r="R12" s="5">
        <v>77518314</v>
      </c>
      <c r="S12" s="5">
        <v>122024772</v>
      </c>
      <c r="T12" s="5">
        <v>170110019</v>
      </c>
      <c r="U12" s="5">
        <v>575446672</v>
      </c>
      <c r="V12" s="5">
        <v>265616554</v>
      </c>
    </row>
    <row r="13" spans="1:22" ht="15" customHeight="1" x14ac:dyDescent="0.3">
      <c r="A13" s="6" t="s">
        <v>31</v>
      </c>
      <c r="B13" s="7">
        <v>-20206267</v>
      </c>
      <c r="C13" s="7">
        <v>-22235705</v>
      </c>
      <c r="D13" s="7">
        <v>-23056571</v>
      </c>
      <c r="E13" s="7">
        <v>-77409094</v>
      </c>
      <c r="F13" s="7">
        <v>-22241495</v>
      </c>
      <c r="G13" s="7">
        <v>-27416340</v>
      </c>
      <c r="H13" s="7">
        <v>-29204284</v>
      </c>
      <c r="I13" s="7">
        <v>-111551139</v>
      </c>
      <c r="J13" s="7">
        <v>-42611618</v>
      </c>
      <c r="K13" s="7">
        <v>-45162460</v>
      </c>
      <c r="L13" s="7">
        <v>-61346445</v>
      </c>
      <c r="M13" s="7">
        <v>-211931914</v>
      </c>
      <c r="N13" s="7">
        <v>-65031043</v>
      </c>
      <c r="O13" s="7">
        <v>-97564089</v>
      </c>
      <c r="P13" s="7">
        <v>-93660673</v>
      </c>
      <c r="Q13" s="7">
        <v>-402641247</v>
      </c>
      <c r="R13" s="7">
        <v>-134017733</v>
      </c>
      <c r="S13" s="7">
        <v>-142695178</v>
      </c>
      <c r="T13" s="7">
        <v>-167015999</v>
      </c>
      <c r="U13" s="7">
        <v>-602686213</v>
      </c>
      <c r="V13" s="7">
        <v>-155876909</v>
      </c>
    </row>
    <row r="14" spans="1:22" ht="15" customHeight="1" x14ac:dyDescent="0.3">
      <c r="A14" s="4" t="s">
        <v>32</v>
      </c>
      <c r="B14" s="10"/>
      <c r="C14" s="10"/>
      <c r="D14" s="10"/>
      <c r="E14" s="10"/>
      <c r="F14" s="5">
        <v>-5311807</v>
      </c>
      <c r="G14" s="5">
        <v>2720198</v>
      </c>
      <c r="H14" s="5">
        <v>3746195</v>
      </c>
      <c r="I14" s="5">
        <v>34991475</v>
      </c>
      <c r="J14" s="5">
        <v>47081025</v>
      </c>
      <c r="K14" s="5">
        <v>-4161421</v>
      </c>
      <c r="L14" s="5">
        <v>3611458</v>
      </c>
      <c r="M14" s="5">
        <v>44116322</v>
      </c>
      <c r="N14" s="5">
        <v>36411789</v>
      </c>
      <c r="O14" s="5">
        <v>17527314</v>
      </c>
      <c r="P14" s="5">
        <v>-7731244</v>
      </c>
      <c r="Q14" s="5">
        <v>69662331</v>
      </c>
      <c r="R14" s="5">
        <v>15842614</v>
      </c>
      <c r="S14" s="5">
        <v>931519</v>
      </c>
      <c r="T14" s="5">
        <v>-33671483</v>
      </c>
      <c r="U14" s="5">
        <v>-9406494</v>
      </c>
      <c r="V14" s="5">
        <v>45154666</v>
      </c>
    </row>
    <row r="15" spans="1:22" ht="15" customHeight="1" x14ac:dyDescent="0.3">
      <c r="A15" s="6" t="s">
        <v>33</v>
      </c>
      <c r="B15" s="7">
        <v>0</v>
      </c>
      <c r="C15" s="7">
        <v>0</v>
      </c>
      <c r="D15" s="7">
        <v>0</v>
      </c>
      <c r="E15" s="7">
        <v>2685432</v>
      </c>
      <c r="F15" s="7">
        <v>-25435336</v>
      </c>
      <c r="G15" s="7">
        <v>30888746</v>
      </c>
      <c r="H15" s="7">
        <v>0</v>
      </c>
      <c r="I15" s="7">
        <v>5453410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</row>
    <row r="16" spans="1:22" ht="15" customHeight="1" x14ac:dyDescent="0.3">
      <c r="A16" s="8" t="s">
        <v>34</v>
      </c>
      <c r="B16" s="9">
        <f>SUM(B7:B15)</f>
        <v>114709211</v>
      </c>
      <c r="C16" s="9">
        <f>SUM(C7:C15)</f>
        <v>110045289</v>
      </c>
      <c r="D16" s="9">
        <f>SUM(D7:D15)</f>
        <v>150273564</v>
      </c>
      <c r="E16" s="9">
        <f>SUM(E7:E15)</f>
        <v>634290716</v>
      </c>
      <c r="F16" s="9">
        <f>SUM(F7:F15)</f>
        <v>207057307</v>
      </c>
      <c r="G16" s="9">
        <f t="shared" ref="G16:V16" si="1">SUM(G7:G15)</f>
        <v>251224733</v>
      </c>
      <c r="H16" s="9">
        <f t="shared" si="1"/>
        <v>374926723</v>
      </c>
      <c r="I16" s="9">
        <f t="shared" si="1"/>
        <v>1270783958</v>
      </c>
      <c r="J16" s="9">
        <f t="shared" si="1"/>
        <v>502677805</v>
      </c>
      <c r="K16" s="9">
        <f t="shared" si="1"/>
        <v>505328840</v>
      </c>
      <c r="L16" s="9">
        <f t="shared" si="1"/>
        <v>572952276</v>
      </c>
      <c r="M16" s="9">
        <f t="shared" si="1"/>
        <v>2050622094</v>
      </c>
      <c r="N16" s="9">
        <f t="shared" si="1"/>
        <v>590471797</v>
      </c>
      <c r="O16" s="9">
        <f t="shared" si="1"/>
        <v>449812370</v>
      </c>
      <c r="P16" s="9">
        <f t="shared" si="1"/>
        <v>474514366</v>
      </c>
      <c r="Q16" s="9">
        <f t="shared" si="1"/>
        <v>1971704045</v>
      </c>
      <c r="R16" s="9">
        <f t="shared" si="1"/>
        <v>523621014</v>
      </c>
      <c r="S16" s="9">
        <f t="shared" si="1"/>
        <v>800041642</v>
      </c>
      <c r="T16" s="9">
        <f t="shared" si="1"/>
        <v>968331930</v>
      </c>
      <c r="U16" s="9">
        <f t="shared" si="1"/>
        <v>3703837580</v>
      </c>
      <c r="V16" s="9">
        <f t="shared" si="1"/>
        <v>1142904331</v>
      </c>
    </row>
    <row r="17" spans="1:22" ht="15" customHeight="1" x14ac:dyDescent="0.3">
      <c r="A17" s="4" t="s">
        <v>35</v>
      </c>
      <c r="B17" s="5">
        <v>-34009923</v>
      </c>
      <c r="C17" s="5">
        <v>-27015006</v>
      </c>
      <c r="D17" s="5">
        <v>-37836934</v>
      </c>
      <c r="E17" s="5">
        <v>-162387113</v>
      </c>
      <c r="F17" s="5">
        <v>-58951903</v>
      </c>
      <c r="G17" s="5">
        <v>-55213541</v>
      </c>
      <c r="H17" s="5">
        <v>-88865289</v>
      </c>
      <c r="I17" s="5">
        <v>-311351887</v>
      </c>
      <c r="J17" s="5">
        <v>-127283328</v>
      </c>
      <c r="K17" s="5">
        <v>-123190557</v>
      </c>
      <c r="L17" s="5">
        <v>-148069742</v>
      </c>
      <c r="M17" s="5">
        <v>-544046655</v>
      </c>
      <c r="N17" s="5">
        <v>-154089296</v>
      </c>
      <c r="O17" s="5">
        <v>-136561450</v>
      </c>
      <c r="P17" s="5">
        <v>-117254135</v>
      </c>
      <c r="Q17" s="5">
        <v>-556329772</v>
      </c>
      <c r="R17" s="5">
        <v>-142593186</v>
      </c>
      <c r="S17" s="5">
        <v>-212137839</v>
      </c>
      <c r="T17" s="5">
        <v>-260195045</v>
      </c>
      <c r="U17" s="5">
        <v>-1008535910</v>
      </c>
      <c r="V17" s="5">
        <v>-290850602</v>
      </c>
    </row>
    <row r="18" spans="1:22" ht="15" customHeight="1" x14ac:dyDescent="0.3">
      <c r="A18" s="8" t="s">
        <v>36</v>
      </c>
      <c r="B18" s="9">
        <f t="shared" ref="B18:V18" si="2">SUM(B16:B17)</f>
        <v>80699288</v>
      </c>
      <c r="C18" s="9">
        <f t="shared" si="2"/>
        <v>83030283</v>
      </c>
      <c r="D18" s="9">
        <f t="shared" si="2"/>
        <v>112436630</v>
      </c>
      <c r="E18" s="9">
        <f t="shared" si="2"/>
        <v>471903603</v>
      </c>
      <c r="F18" s="9">
        <f t="shared" si="2"/>
        <v>148105404</v>
      </c>
      <c r="G18" s="9">
        <f t="shared" si="2"/>
        <v>196011192</v>
      </c>
      <c r="H18" s="9">
        <f t="shared" si="2"/>
        <v>286061434</v>
      </c>
      <c r="I18" s="9">
        <f t="shared" si="2"/>
        <v>959432071</v>
      </c>
      <c r="J18" s="9">
        <f t="shared" si="2"/>
        <v>375394477</v>
      </c>
      <c r="K18" s="9">
        <f t="shared" si="2"/>
        <v>382138283</v>
      </c>
      <c r="L18" s="9">
        <f t="shared" si="2"/>
        <v>424882534</v>
      </c>
      <c r="M18" s="9">
        <f t="shared" si="2"/>
        <v>1506575439</v>
      </c>
      <c r="N18" s="9">
        <f t="shared" si="2"/>
        <v>436382501</v>
      </c>
      <c r="O18" s="9">
        <f t="shared" si="2"/>
        <v>313250920</v>
      </c>
      <c r="P18" s="9">
        <f t="shared" si="2"/>
        <v>357260231</v>
      </c>
      <c r="Q18" s="9">
        <f t="shared" si="2"/>
        <v>1415374273</v>
      </c>
      <c r="R18" s="9">
        <f t="shared" si="2"/>
        <v>381027828</v>
      </c>
      <c r="S18" s="9">
        <f t="shared" si="2"/>
        <v>587903803</v>
      </c>
      <c r="T18" s="9">
        <f t="shared" si="2"/>
        <v>708136885</v>
      </c>
      <c r="U18" s="9">
        <f t="shared" si="2"/>
        <v>2695301670</v>
      </c>
      <c r="V18" s="9">
        <f t="shared" si="2"/>
        <v>852053729</v>
      </c>
    </row>
    <row r="19" spans="1:22" ht="15" customHeight="1" x14ac:dyDescent="0.3">
      <c r="A19" s="11" t="s">
        <v>37</v>
      </c>
      <c r="B19" s="7">
        <v>81694706</v>
      </c>
      <c r="C19" s="7">
        <v>82696208</v>
      </c>
      <c r="D19" s="7">
        <v>112750706</v>
      </c>
      <c r="E19" s="7">
        <v>471737825</v>
      </c>
      <c r="F19" s="7">
        <v>148071081</v>
      </c>
      <c r="G19" s="7">
        <v>196653063</v>
      </c>
      <c r="H19" s="7">
        <v>286970365</v>
      </c>
      <c r="I19" s="7">
        <v>964866603</v>
      </c>
      <c r="J19" s="7">
        <v>374142968</v>
      </c>
      <c r="K19" s="7">
        <v>385867086</v>
      </c>
      <c r="L19" s="7">
        <v>430637267</v>
      </c>
      <c r="M19" s="7">
        <v>1524789018</v>
      </c>
      <c r="N19" s="7">
        <v>439818756</v>
      </c>
      <c r="O19" s="7">
        <v>318198469</v>
      </c>
      <c r="P19" s="7">
        <v>361707936</v>
      </c>
      <c r="Q19" s="7">
        <v>1442374792</v>
      </c>
      <c r="R19" s="7">
        <v>384563617</v>
      </c>
      <c r="S19" s="7">
        <v>593144654</v>
      </c>
      <c r="T19" s="7">
        <v>715516293</v>
      </c>
      <c r="U19" s="7">
        <v>2749571345</v>
      </c>
      <c r="V19" s="7">
        <v>873819839</v>
      </c>
    </row>
    <row r="20" spans="1:22" ht="15" customHeight="1" x14ac:dyDescent="0.3">
      <c r="A20" s="12" t="s">
        <v>38</v>
      </c>
      <c r="B20" s="5">
        <v>-995418</v>
      </c>
      <c r="C20" s="5">
        <v>334075</v>
      </c>
      <c r="D20" s="5">
        <v>-314076</v>
      </c>
      <c r="E20" s="5">
        <v>165778</v>
      </c>
      <c r="F20" s="5">
        <v>34323</v>
      </c>
      <c r="G20" s="5">
        <v>-641871</v>
      </c>
      <c r="H20" s="5">
        <v>-908931</v>
      </c>
      <c r="I20" s="5">
        <v>-5434532</v>
      </c>
      <c r="J20" s="5">
        <v>1251509</v>
      </c>
      <c r="K20" s="5">
        <v>-3728803</v>
      </c>
      <c r="L20" s="5">
        <v>-5754733</v>
      </c>
      <c r="M20" s="5">
        <v>-18213579</v>
      </c>
      <c r="N20" s="5">
        <v>-3436255</v>
      </c>
      <c r="O20" s="5">
        <v>-4947549</v>
      </c>
      <c r="P20" s="5">
        <v>-4447705</v>
      </c>
      <c r="Q20" s="5">
        <v>-27000519</v>
      </c>
      <c r="R20" s="5">
        <v>-3535789</v>
      </c>
      <c r="S20" s="5">
        <v>-5240851</v>
      </c>
      <c r="T20" s="5">
        <v>-7379408</v>
      </c>
      <c r="U20" s="5">
        <v>-54269675</v>
      </c>
      <c r="V20" s="5">
        <v>-21766110</v>
      </c>
    </row>
    <row r="21" spans="1:22" ht="15" customHeight="1" x14ac:dyDescent="0.3">
      <c r="A21" s="6" t="s">
        <v>39</v>
      </c>
      <c r="B21" s="13">
        <v>0.11</v>
      </c>
      <c r="C21" s="13">
        <v>0.114</v>
      </c>
      <c r="D21" s="13">
        <v>0.16</v>
      </c>
      <c r="E21" s="13">
        <v>0.65</v>
      </c>
      <c r="F21" s="13">
        <v>0.2</v>
      </c>
      <c r="G21" s="13">
        <v>0.27</v>
      </c>
      <c r="H21" s="13">
        <v>0.4</v>
      </c>
      <c r="I21" s="13">
        <v>1.36</v>
      </c>
      <c r="J21" s="13">
        <v>0.53</v>
      </c>
      <c r="K21" s="13">
        <v>0.55000000000000004</v>
      </c>
      <c r="L21" s="13">
        <v>0.62</v>
      </c>
      <c r="M21" s="13">
        <v>2.17</v>
      </c>
      <c r="N21" s="13">
        <v>0.63</v>
      </c>
      <c r="O21" s="13">
        <v>0.45</v>
      </c>
      <c r="P21" s="13">
        <v>0.52</v>
      </c>
      <c r="Q21" s="13">
        <v>2.06</v>
      </c>
      <c r="R21" s="13">
        <v>0.55000000000000004</v>
      </c>
      <c r="S21" s="13">
        <v>0.6</v>
      </c>
      <c r="T21" s="13">
        <v>0.48</v>
      </c>
      <c r="U21" s="13">
        <v>2.1800000000000002</v>
      </c>
      <c r="V21" s="13">
        <v>0.59</v>
      </c>
    </row>
    <row r="23" spans="1:22" ht="15" customHeight="1" x14ac:dyDescent="0.3">
      <c r="A23" s="14" t="s">
        <v>40</v>
      </c>
    </row>
    <row r="24" spans="1:22" ht="15" customHeight="1" x14ac:dyDescent="0.3">
      <c r="A24" s="15" t="s">
        <v>41</v>
      </c>
      <c r="B24" s="16">
        <f t="shared" ref="B24:V24" si="3">B7/B5</f>
        <v>0.34115081128603825</v>
      </c>
      <c r="C24" s="16">
        <f t="shared" si="3"/>
        <v>0.29420719273454815</v>
      </c>
      <c r="D24" s="16">
        <f t="shared" si="3"/>
        <v>0.29446134012894576</v>
      </c>
      <c r="E24" s="16">
        <f t="shared" si="3"/>
        <v>0.31866190133255939</v>
      </c>
      <c r="F24" s="46">
        <f t="shared" si="3"/>
        <v>0.35704252331005659</v>
      </c>
      <c r="G24" s="16">
        <f t="shared" si="3"/>
        <v>0.32973763289739105</v>
      </c>
      <c r="H24" s="16">
        <f t="shared" si="3"/>
        <v>0.3381120729378807</v>
      </c>
      <c r="I24" s="16">
        <f t="shared" si="3"/>
        <v>0.33994570356105169</v>
      </c>
      <c r="J24" s="16">
        <f t="shared" si="3"/>
        <v>0.31645358379505589</v>
      </c>
      <c r="K24" s="16">
        <f t="shared" si="3"/>
        <v>0.31962438112718539</v>
      </c>
      <c r="L24" s="16">
        <f t="shared" si="3"/>
        <v>0.33184125089476585</v>
      </c>
      <c r="M24" s="16">
        <f t="shared" si="3"/>
        <v>0.3237084187064711</v>
      </c>
      <c r="N24" s="16">
        <f t="shared" si="3"/>
        <v>0.30594552064681013</v>
      </c>
      <c r="O24" s="16">
        <f t="shared" si="3"/>
        <v>0.28835251327144873</v>
      </c>
      <c r="P24" s="16">
        <f t="shared" si="3"/>
        <v>0.31201849184916858</v>
      </c>
      <c r="Q24" s="16">
        <f>Q7/Q5</f>
        <v>0.30386144983963109</v>
      </c>
      <c r="R24" s="16">
        <f t="shared" si="3"/>
        <v>0.31594310252033819</v>
      </c>
      <c r="S24" s="16">
        <f t="shared" si="3"/>
        <v>0.33539784767613096</v>
      </c>
      <c r="T24" s="16">
        <f t="shared" si="3"/>
        <v>0.35247405923678821</v>
      </c>
      <c r="U24" s="16">
        <f t="shared" si="3"/>
        <v>0.34386958230162157</v>
      </c>
      <c r="V24" s="16">
        <f t="shared" si="3"/>
        <v>0.35196210835136299</v>
      </c>
    </row>
    <row r="25" spans="1:22" ht="15" customHeight="1" x14ac:dyDescent="0.3">
      <c r="A25" s="15" t="s">
        <v>42</v>
      </c>
      <c r="B25" s="16">
        <f t="shared" ref="B25:V25" si="4">B16/B5</f>
        <v>9.8349911879296092E-2</v>
      </c>
      <c r="C25" s="16">
        <f t="shared" si="4"/>
        <v>9.5625349483035568E-2</v>
      </c>
      <c r="D25" s="16">
        <f t="shared" si="4"/>
        <v>0.10774831568700681</v>
      </c>
      <c r="E25" s="16">
        <f t="shared" si="4"/>
        <v>0.12078930234199159</v>
      </c>
      <c r="F25" s="16">
        <f t="shared" si="4"/>
        <v>0.13281759090406303</v>
      </c>
      <c r="G25" s="16">
        <f t="shared" si="4"/>
        <v>0.15969205597657055</v>
      </c>
      <c r="H25" s="16">
        <f t="shared" si="4"/>
        <v>0.1860154102916885</v>
      </c>
      <c r="I25" s="16">
        <f t="shared" si="4"/>
        <v>0.16565861663159939</v>
      </c>
      <c r="J25" s="16">
        <f t="shared" si="4"/>
        <v>0.18083803729263628</v>
      </c>
      <c r="K25" s="16">
        <f t="shared" si="4"/>
        <v>0.17680752750233181</v>
      </c>
      <c r="L25" s="16">
        <f t="shared" si="4"/>
        <v>0.18386293172530427</v>
      </c>
      <c r="M25" s="16">
        <f t="shared" si="4"/>
        <v>0.16910956568939939</v>
      </c>
      <c r="N25" s="16">
        <f t="shared" si="4"/>
        <v>0.15034390506646558</v>
      </c>
      <c r="O25" s="16">
        <f t="shared" si="4"/>
        <v>0.11074595910027649</v>
      </c>
      <c r="P25" s="16">
        <f t="shared" si="4"/>
        <v>0.12129589750461468</v>
      </c>
      <c r="Q25" s="16">
        <f t="shared" si="4"/>
        <v>0.12211305636239664</v>
      </c>
      <c r="R25" s="16">
        <f t="shared" si="4"/>
        <v>0.12224484858813822</v>
      </c>
      <c r="S25" s="16">
        <f t="shared" si="4"/>
        <v>0.16117710813234312</v>
      </c>
      <c r="T25" s="16">
        <f t="shared" si="4"/>
        <v>0.17627060757948457</v>
      </c>
      <c r="U25" s="16">
        <f t="shared" si="4"/>
        <v>0.1770893977079008</v>
      </c>
      <c r="V25" s="47">
        <f t="shared" si="4"/>
        <v>0.19805987904527808</v>
      </c>
    </row>
    <row r="26" spans="1:22" ht="15" customHeight="1" x14ac:dyDescent="0.3">
      <c r="A26" s="15" t="s">
        <v>43</v>
      </c>
      <c r="B26" s="16">
        <f t="shared" ref="B26:V26" si="5">B18/B5</f>
        <v>6.9190327388111289E-2</v>
      </c>
      <c r="C26" s="16">
        <f t="shared" si="5"/>
        <v>7.2150292863062473E-2</v>
      </c>
      <c r="D26" s="16">
        <f t="shared" si="5"/>
        <v>8.0618687555870969E-2</v>
      </c>
      <c r="E26" s="16">
        <f t="shared" si="5"/>
        <v>8.9865586144007456E-2</v>
      </c>
      <c r="F26" s="16">
        <f t="shared" si="5"/>
        <v>9.500269874152753E-2</v>
      </c>
      <c r="G26" s="16">
        <f t="shared" si="5"/>
        <v>0.12459533689661964</v>
      </c>
      <c r="H26" s="16">
        <f t="shared" si="5"/>
        <v>0.14192595979385222</v>
      </c>
      <c r="I26" s="16">
        <f t="shared" si="5"/>
        <v>0.12507097578095996</v>
      </c>
      <c r="J26" s="16">
        <f t="shared" si="5"/>
        <v>0.13504793678164423</v>
      </c>
      <c r="K26" s="16">
        <f t="shared" si="5"/>
        <v>0.13370486628314418</v>
      </c>
      <c r="L26" s="16">
        <f t="shared" si="5"/>
        <v>0.1363466934549995</v>
      </c>
      <c r="M26" s="16">
        <f t="shared" si="5"/>
        <v>0.1242434278422469</v>
      </c>
      <c r="N26" s="16">
        <f t="shared" si="5"/>
        <v>0.11111021667138291</v>
      </c>
      <c r="O26" s="16">
        <f t="shared" si="5"/>
        <v>7.7123876283002143E-2</v>
      </c>
      <c r="P26" s="16">
        <f t="shared" si="5"/>
        <v>9.1323263249422817E-2</v>
      </c>
      <c r="Q26" s="16">
        <f t="shared" si="5"/>
        <v>8.7658022922367726E-2</v>
      </c>
      <c r="R26" s="16">
        <f t="shared" si="5"/>
        <v>8.8954965321019708E-2</v>
      </c>
      <c r="S26" s="16">
        <f t="shared" si="5"/>
        <v>0.11843962845567325</v>
      </c>
      <c r="T26" s="16">
        <f t="shared" si="5"/>
        <v>0.1289059206881607</v>
      </c>
      <c r="U26" s="16">
        <f>U18/U5</f>
        <v>0.12886886616162019</v>
      </c>
      <c r="V26" s="47">
        <f t="shared" si="5"/>
        <v>0.14765685449644006</v>
      </c>
    </row>
  </sheetData>
  <mergeCells count="2">
    <mergeCell ref="A1:V1"/>
    <mergeCell ref="A2:V2"/>
  </mergeCells>
  <conditionalFormatting sqref="B23:V23">
    <cfRule type="colorScale" priority="2">
      <colorScale>
        <cfvo type="min"/>
        <cfvo type="max"/>
        <color rgb="FFFDE9E8"/>
        <color rgb="FFD6ECD9"/>
      </colorScale>
    </cfRule>
  </conditionalFormatting>
  <conditionalFormatting sqref="B24:V24">
    <cfRule type="colorScale" priority="3">
      <colorScale>
        <cfvo type="min"/>
        <cfvo type="max"/>
        <color rgb="FFFDE9E8"/>
        <color rgb="FFD6ECD9"/>
      </colorScale>
    </cfRule>
  </conditionalFormatting>
  <conditionalFormatting sqref="B25:V25">
    <cfRule type="colorScale" priority="4">
      <colorScale>
        <cfvo type="min"/>
        <cfvo type="max"/>
        <color rgb="FFFDE9E8"/>
        <color rgb="FFD6ECD9"/>
      </colorScale>
    </cfRule>
  </conditionalFormatting>
  <conditionalFormatting sqref="B26:V26">
    <cfRule type="colorScale" priority="5">
      <colorScale>
        <cfvo type="min"/>
        <cfvo type="max"/>
        <color rgb="FFFDE9E8"/>
        <color rgb="FFD6ECD9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3315C"/>
  </sheetPr>
  <dimension ref="A1:V45"/>
  <sheetViews>
    <sheetView showGridLines="0" zoomScale="77" zoomScaleNormal="112" workbookViewId="0">
      <pane xSplit="1" ySplit="4" topLeftCell="E16" activePane="bottomRight" state="frozen"/>
      <selection pane="topRight" activeCell="B1" sqref="B1"/>
      <selection pane="bottomLeft" activeCell="A5" sqref="A5"/>
      <selection pane="bottomRight" activeCell="A2" sqref="A2:XFD2"/>
    </sheetView>
  </sheetViews>
  <sheetFormatPr defaultColWidth="8.6640625" defaultRowHeight="14.4" x14ac:dyDescent="0.3"/>
  <cols>
    <col min="1" max="1" width="34" customWidth="1"/>
    <col min="2" max="4" width="13.44140625" hidden="1" customWidth="1"/>
    <col min="5" max="5" width="13.44140625" customWidth="1"/>
    <col min="6" max="8" width="13.44140625" hidden="1" customWidth="1"/>
    <col min="9" max="9" width="13.44140625" customWidth="1"/>
    <col min="10" max="12" width="13.44140625" hidden="1" customWidth="1"/>
    <col min="13" max="13" width="13.44140625" customWidth="1"/>
    <col min="14" max="16" width="13.44140625" hidden="1" customWidth="1"/>
    <col min="17" max="17" width="13.44140625" customWidth="1"/>
    <col min="18" max="20" width="13.44140625" hidden="1" customWidth="1"/>
    <col min="21" max="22" width="13.44140625" customWidth="1"/>
  </cols>
  <sheetData>
    <row r="1" spans="1:22" ht="24" customHeight="1" x14ac:dyDescent="0.3">
      <c r="A1" s="54" t="s">
        <v>44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22" ht="15" customHeight="1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4" spans="1:22" s="17" customFormat="1" ht="15" customHeigh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2" t="s">
        <v>6</v>
      </c>
      <c r="G4" s="2" t="s">
        <v>7</v>
      </c>
      <c r="H4" s="2" t="s">
        <v>8</v>
      </c>
      <c r="I4" s="3" t="s">
        <v>9</v>
      </c>
      <c r="J4" s="2" t="s">
        <v>10</v>
      </c>
      <c r="K4" s="2" t="s">
        <v>11</v>
      </c>
      <c r="L4" s="2" t="s">
        <v>12</v>
      </c>
      <c r="M4" s="3" t="s">
        <v>13</v>
      </c>
      <c r="N4" s="2" t="s">
        <v>14</v>
      </c>
      <c r="O4" s="2" t="s">
        <v>15</v>
      </c>
      <c r="P4" s="2" t="s">
        <v>16</v>
      </c>
      <c r="Q4" s="3" t="s">
        <v>17</v>
      </c>
      <c r="R4" s="2" t="s">
        <v>18</v>
      </c>
      <c r="S4" s="2" t="s">
        <v>19</v>
      </c>
      <c r="T4" s="2" t="s">
        <v>20</v>
      </c>
      <c r="U4" s="3" t="s">
        <v>21</v>
      </c>
      <c r="V4" s="2" t="s">
        <v>22</v>
      </c>
    </row>
    <row r="5" spans="1:22" s="17" customFormat="1" ht="15" customHeight="1" x14ac:dyDescent="0.3">
      <c r="A5" s="18" t="s">
        <v>45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18"/>
      <c r="T5" s="22"/>
      <c r="U5" s="22"/>
      <c r="V5" s="22"/>
    </row>
    <row r="6" spans="1:22" ht="15" customHeight="1" x14ac:dyDescent="0.3">
      <c r="A6" s="4" t="s">
        <v>46</v>
      </c>
      <c r="B6" s="5">
        <v>2323470466</v>
      </c>
      <c r="C6" s="5">
        <v>2346389317</v>
      </c>
      <c r="D6" s="5">
        <v>2344924764</v>
      </c>
      <c r="E6" s="5">
        <v>2165626284</v>
      </c>
      <c r="F6" s="5">
        <v>2160251623</v>
      </c>
      <c r="G6" s="5">
        <v>2362536619</v>
      </c>
      <c r="H6" s="5">
        <v>2470518572</v>
      </c>
      <c r="I6" s="5">
        <v>2542701504</v>
      </c>
      <c r="J6" s="5">
        <v>2646209707</v>
      </c>
      <c r="K6" s="5">
        <v>3074547128</v>
      </c>
      <c r="L6" s="5">
        <v>3099590380</v>
      </c>
      <c r="M6" s="5">
        <v>3371427161</v>
      </c>
      <c r="N6" s="5">
        <v>3840585520</v>
      </c>
      <c r="O6" s="5">
        <v>4180870117</v>
      </c>
      <c r="P6" s="5">
        <v>4358321026</v>
      </c>
      <c r="Q6" s="5">
        <v>4459743474</v>
      </c>
      <c r="R6" s="5">
        <v>4626742780</v>
      </c>
      <c r="S6" s="4">
        <v>4738654843</v>
      </c>
      <c r="T6" s="5">
        <v>5067697938</v>
      </c>
      <c r="U6" s="5">
        <v>5473026194</v>
      </c>
      <c r="V6" s="5">
        <v>5787706605</v>
      </c>
    </row>
    <row r="7" spans="1:22" ht="15" customHeight="1" x14ac:dyDescent="0.3">
      <c r="A7" s="6" t="s">
        <v>47</v>
      </c>
      <c r="B7" s="7">
        <v>72228726</v>
      </c>
      <c r="C7" s="7">
        <v>69504007</v>
      </c>
      <c r="D7" s="7">
        <v>66321750</v>
      </c>
      <c r="E7" s="7">
        <v>47149933</v>
      </c>
      <c r="F7" s="7">
        <v>43697475</v>
      </c>
      <c r="G7" s="7">
        <v>58868257</v>
      </c>
      <c r="H7" s="7">
        <v>81712986</v>
      </c>
      <c r="I7" s="7">
        <v>96235414</v>
      </c>
      <c r="J7" s="7">
        <v>105032432</v>
      </c>
      <c r="K7" s="7">
        <v>127820002</v>
      </c>
      <c r="L7" s="7">
        <v>120784435</v>
      </c>
      <c r="M7" s="7">
        <v>118455576</v>
      </c>
      <c r="N7" s="7">
        <v>152369074</v>
      </c>
      <c r="O7" s="7">
        <v>150795329</v>
      </c>
      <c r="P7" s="7">
        <v>202664941</v>
      </c>
      <c r="Q7" s="7">
        <v>199536464</v>
      </c>
      <c r="R7" s="7">
        <v>201047957</v>
      </c>
      <c r="S7" s="6">
        <v>219227708</v>
      </c>
      <c r="T7" s="7">
        <v>445138366</v>
      </c>
      <c r="U7" s="7">
        <v>471665836</v>
      </c>
      <c r="V7" s="7">
        <v>542965016</v>
      </c>
    </row>
    <row r="8" spans="1:22" ht="15" customHeight="1" x14ac:dyDescent="0.3">
      <c r="A8" s="4" t="s">
        <v>48</v>
      </c>
      <c r="B8" s="5">
        <v>165888068</v>
      </c>
      <c r="C8" s="5">
        <v>165223557</v>
      </c>
      <c r="D8" s="5">
        <v>165705675</v>
      </c>
      <c r="E8" s="5">
        <v>180713178</v>
      </c>
      <c r="F8" s="5">
        <v>179572144</v>
      </c>
      <c r="G8" s="5">
        <v>232673969</v>
      </c>
      <c r="H8" s="5">
        <v>231112173</v>
      </c>
      <c r="I8" s="5">
        <v>229226565</v>
      </c>
      <c r="J8" s="5">
        <v>227340955</v>
      </c>
      <c r="K8" s="5">
        <v>225710973</v>
      </c>
      <c r="L8" s="5">
        <v>225192408</v>
      </c>
      <c r="M8" s="5">
        <v>264367647</v>
      </c>
      <c r="N8" s="5">
        <v>314367055</v>
      </c>
      <c r="O8" s="5">
        <v>318800466</v>
      </c>
      <c r="P8" s="5">
        <v>315178047</v>
      </c>
      <c r="Q8" s="5">
        <v>345553928</v>
      </c>
      <c r="R8" s="5">
        <v>339003177</v>
      </c>
      <c r="S8" s="4">
        <v>334353666</v>
      </c>
      <c r="T8" s="5">
        <v>238258830</v>
      </c>
      <c r="U8" s="5">
        <v>298916619</v>
      </c>
      <c r="V8" s="5">
        <v>311497661</v>
      </c>
    </row>
    <row r="9" spans="1:22" ht="15" customHeight="1" x14ac:dyDescent="0.3">
      <c r="A9" s="6" t="s">
        <v>49</v>
      </c>
      <c r="B9" s="23"/>
      <c r="C9" s="23"/>
      <c r="D9" s="23"/>
      <c r="E9" s="7">
        <v>69445134</v>
      </c>
      <c r="F9" s="23">
        <v>69361875</v>
      </c>
      <c r="G9" s="23"/>
      <c r="H9" s="23"/>
      <c r="I9" s="23"/>
      <c r="J9" s="23"/>
      <c r="K9" s="23"/>
      <c r="L9" s="23"/>
      <c r="M9" s="23"/>
      <c r="N9" s="23"/>
      <c r="O9" s="23"/>
      <c r="P9" s="7"/>
      <c r="Q9" s="7"/>
      <c r="R9" s="7"/>
      <c r="S9" s="6"/>
      <c r="T9" s="23">
        <v>138351801</v>
      </c>
      <c r="U9" s="23">
        <v>158769416</v>
      </c>
      <c r="V9" s="23">
        <v>180023178</v>
      </c>
    </row>
    <row r="10" spans="1:22" ht="15" customHeight="1" x14ac:dyDescent="0.3">
      <c r="A10" s="4" t="s">
        <v>50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5"/>
      <c r="M10" s="5"/>
      <c r="N10" s="5"/>
      <c r="O10" s="5">
        <v>51013564</v>
      </c>
      <c r="P10" s="10">
        <v>59828021</v>
      </c>
      <c r="Q10" s="10">
        <v>99659439</v>
      </c>
      <c r="R10" s="10">
        <v>116454966</v>
      </c>
      <c r="S10" s="4"/>
      <c r="T10" s="10"/>
      <c r="U10" s="10"/>
      <c r="V10" s="10"/>
    </row>
    <row r="11" spans="1:22" ht="15" customHeight="1" x14ac:dyDescent="0.3">
      <c r="A11" s="6" t="s">
        <v>51</v>
      </c>
      <c r="B11" s="7">
        <v>317039134</v>
      </c>
      <c r="C11" s="7">
        <v>355518983</v>
      </c>
      <c r="D11" s="7">
        <v>426042634</v>
      </c>
      <c r="E11" s="7">
        <v>526494168</v>
      </c>
      <c r="F11" s="7">
        <v>506530723</v>
      </c>
      <c r="G11" s="7">
        <v>648994733</v>
      </c>
      <c r="H11" s="7">
        <v>825856111</v>
      </c>
      <c r="I11" s="7">
        <v>981499151</v>
      </c>
      <c r="J11" s="7">
        <v>1314225489</v>
      </c>
      <c r="K11" s="7">
        <v>1386508882</v>
      </c>
      <c r="L11" s="7">
        <v>1615431141</v>
      </c>
      <c r="M11" s="7">
        <v>1866984476</v>
      </c>
      <c r="N11" s="7">
        <v>2013168512</v>
      </c>
      <c r="O11" s="7">
        <v>2395457077</v>
      </c>
      <c r="P11" s="7">
        <v>2935552303</v>
      </c>
      <c r="Q11" s="7">
        <v>3034025532</v>
      </c>
      <c r="R11" s="7">
        <v>2248375052</v>
      </c>
      <c r="S11" s="6">
        <v>2021725974</v>
      </c>
      <c r="T11" s="7">
        <v>2391304149</v>
      </c>
      <c r="U11" s="7">
        <v>2315050051</v>
      </c>
      <c r="V11" s="7">
        <v>2548029569</v>
      </c>
    </row>
    <row r="12" spans="1:22" ht="15" customHeight="1" x14ac:dyDescent="0.3">
      <c r="A12" s="4" t="s">
        <v>52</v>
      </c>
      <c r="B12" s="5">
        <v>201535452</v>
      </c>
      <c r="C12" s="5">
        <v>161724279</v>
      </c>
      <c r="D12" s="5">
        <v>215182804</v>
      </c>
      <c r="E12" s="5">
        <v>218916999</v>
      </c>
      <c r="F12" s="5">
        <v>244082295</v>
      </c>
      <c r="G12" s="5">
        <v>360122584</v>
      </c>
      <c r="H12" s="5">
        <v>352281334</v>
      </c>
      <c r="I12" s="5">
        <v>545215216</v>
      </c>
      <c r="J12" s="5">
        <v>523890477</v>
      </c>
      <c r="K12" s="5">
        <v>618080934</v>
      </c>
      <c r="L12" s="5">
        <v>618884818</v>
      </c>
      <c r="M12" s="5">
        <v>780069438</v>
      </c>
      <c r="N12" s="5">
        <v>1245264923</v>
      </c>
      <c r="O12" s="5">
        <v>983664728</v>
      </c>
      <c r="P12" s="5">
        <v>1021485043</v>
      </c>
      <c r="Q12" s="5">
        <v>846997383</v>
      </c>
      <c r="R12" s="5">
        <v>631213623</v>
      </c>
      <c r="S12" s="4">
        <v>196957132</v>
      </c>
      <c r="T12" s="5">
        <v>223559809</v>
      </c>
      <c r="U12" s="5">
        <v>243511563</v>
      </c>
      <c r="V12" s="5">
        <v>328019410</v>
      </c>
    </row>
    <row r="13" spans="1:22" ht="15" customHeight="1" x14ac:dyDescent="0.3">
      <c r="A13" s="6" t="s">
        <v>53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7"/>
      <c r="Q13" s="7"/>
      <c r="R13" s="7"/>
      <c r="S13" s="6">
        <v>585471586</v>
      </c>
      <c r="T13" s="23">
        <v>750371277</v>
      </c>
      <c r="U13" s="23">
        <v>947732627</v>
      </c>
      <c r="V13" s="23">
        <v>1265449382</v>
      </c>
    </row>
    <row r="14" spans="1:22" ht="15" customHeight="1" x14ac:dyDescent="0.3">
      <c r="A14" s="4" t="s">
        <v>54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5"/>
      <c r="Q14" s="5"/>
      <c r="R14" s="5"/>
      <c r="S14" s="4">
        <v>27238719</v>
      </c>
      <c r="T14" s="10">
        <v>27787612</v>
      </c>
      <c r="U14" s="10">
        <v>89033817</v>
      </c>
      <c r="V14" s="10">
        <v>28125296</v>
      </c>
    </row>
    <row r="15" spans="1:22" ht="15" customHeight="1" x14ac:dyDescent="0.3">
      <c r="A15" s="6" t="s">
        <v>55</v>
      </c>
      <c r="B15" s="7">
        <v>512595367</v>
      </c>
      <c r="C15" s="7">
        <v>527695113</v>
      </c>
      <c r="D15" s="7">
        <v>690192707</v>
      </c>
      <c r="E15" s="7">
        <v>769965310</v>
      </c>
      <c r="F15" s="7">
        <v>846170545</v>
      </c>
      <c r="G15" s="7">
        <v>682827983</v>
      </c>
      <c r="H15" s="7">
        <v>753680638</v>
      </c>
      <c r="I15" s="7">
        <v>894641441</v>
      </c>
      <c r="J15" s="7">
        <v>1194779566</v>
      </c>
      <c r="K15" s="7">
        <v>860439291</v>
      </c>
      <c r="L15" s="23">
        <v>900515962</v>
      </c>
      <c r="M15" s="7">
        <v>346432739</v>
      </c>
      <c r="N15" s="7">
        <v>710774116</v>
      </c>
      <c r="O15" s="7"/>
      <c r="P15" s="7">
        <v>670821833</v>
      </c>
      <c r="Q15" s="7">
        <v>805867012</v>
      </c>
      <c r="R15" s="7">
        <v>1470298333</v>
      </c>
      <c r="S15" s="6">
        <v>2055401482</v>
      </c>
      <c r="T15" s="7">
        <v>2510350277</v>
      </c>
      <c r="U15" s="7">
        <v>3445357884</v>
      </c>
      <c r="V15" s="7">
        <v>4237595554</v>
      </c>
    </row>
    <row r="16" spans="1:22" ht="15" customHeight="1" x14ac:dyDescent="0.3">
      <c r="A16" s="4" t="s">
        <v>56</v>
      </c>
      <c r="B16" s="10"/>
      <c r="C16" s="5">
        <v>71662472</v>
      </c>
      <c r="D16" s="5">
        <v>75074278</v>
      </c>
      <c r="E16" s="5">
        <v>76403685</v>
      </c>
      <c r="F16" s="10">
        <v>66125663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5"/>
      <c r="R16" s="5"/>
      <c r="S16" s="4"/>
      <c r="T16" s="10"/>
      <c r="U16" s="5">
        <v>578992890</v>
      </c>
      <c r="V16" s="5">
        <v>192805981</v>
      </c>
    </row>
    <row r="17" spans="1:22" ht="15" customHeight="1" x14ac:dyDescent="0.3">
      <c r="A17" s="6" t="s">
        <v>57</v>
      </c>
      <c r="B17" s="7">
        <v>234316430</v>
      </c>
      <c r="C17" s="7">
        <v>98990078</v>
      </c>
      <c r="D17" s="7">
        <v>114176127</v>
      </c>
      <c r="E17" s="7">
        <v>163455483</v>
      </c>
      <c r="F17" s="7">
        <v>216567822</v>
      </c>
      <c r="G17" s="7">
        <v>368908371</v>
      </c>
      <c r="H17" s="7">
        <v>524192529</v>
      </c>
      <c r="I17" s="7">
        <v>494387411</v>
      </c>
      <c r="J17" s="7">
        <v>365177423</v>
      </c>
      <c r="K17" s="7">
        <v>477116838</v>
      </c>
      <c r="L17" s="7">
        <v>531174606</v>
      </c>
      <c r="M17" s="7">
        <v>1009902806</v>
      </c>
      <c r="N17" s="7">
        <v>863036778</v>
      </c>
      <c r="O17" s="7">
        <v>878674365</v>
      </c>
      <c r="P17" s="7">
        <v>695037428</v>
      </c>
      <c r="Q17" s="7">
        <v>518288835</v>
      </c>
      <c r="R17" s="7">
        <v>1326798901</v>
      </c>
      <c r="S17" s="6">
        <v>1377082859</v>
      </c>
      <c r="T17" s="7">
        <v>2013855849</v>
      </c>
      <c r="U17" s="7">
        <v>716765194</v>
      </c>
      <c r="V17" s="7">
        <v>1382347681</v>
      </c>
    </row>
    <row r="18" spans="1:22" ht="15" customHeight="1" x14ac:dyDescent="0.3">
      <c r="A18" s="8" t="s">
        <v>58</v>
      </c>
      <c r="B18" s="24">
        <f t="shared" ref="B18:V18" si="0">SUM(B6:B17)</f>
        <v>3827073643</v>
      </c>
      <c r="C18" s="24">
        <f t="shared" si="0"/>
        <v>3796707806</v>
      </c>
      <c r="D18" s="24">
        <f t="shared" si="0"/>
        <v>4097620739</v>
      </c>
      <c r="E18" s="24">
        <f t="shared" si="0"/>
        <v>4218170174</v>
      </c>
      <c r="F18" s="24">
        <f t="shared" si="0"/>
        <v>4332360165</v>
      </c>
      <c r="G18" s="24">
        <f t="shared" si="0"/>
        <v>4714932516</v>
      </c>
      <c r="H18" s="24">
        <f t="shared" si="0"/>
        <v>5239354343</v>
      </c>
      <c r="I18" s="24">
        <f t="shared" si="0"/>
        <v>5783906702</v>
      </c>
      <c r="J18" s="24">
        <f t="shared" si="0"/>
        <v>6376656049</v>
      </c>
      <c r="K18" s="24">
        <f t="shared" si="0"/>
        <v>6770224048</v>
      </c>
      <c r="L18" s="24">
        <f t="shared" si="0"/>
        <v>7111573750</v>
      </c>
      <c r="M18" s="24">
        <f t="shared" si="0"/>
        <v>7757639843</v>
      </c>
      <c r="N18" s="24">
        <f t="shared" si="0"/>
        <v>9139565978</v>
      </c>
      <c r="O18" s="24">
        <f t="shared" si="0"/>
        <v>8959275646</v>
      </c>
      <c r="P18" s="24">
        <f t="shared" si="0"/>
        <v>10258888642</v>
      </c>
      <c r="Q18" s="24">
        <f t="shared" si="0"/>
        <v>10309672067</v>
      </c>
      <c r="R18" s="24">
        <f t="shared" si="0"/>
        <v>10959934789</v>
      </c>
      <c r="S18" s="8">
        <f t="shared" si="0"/>
        <v>11556113969</v>
      </c>
      <c r="T18" s="24">
        <f t="shared" si="0"/>
        <v>13806675908</v>
      </c>
      <c r="U18" s="24">
        <f t="shared" si="0"/>
        <v>14738822091</v>
      </c>
      <c r="V18" s="24">
        <f t="shared" si="0"/>
        <v>16804565333</v>
      </c>
    </row>
    <row r="19" spans="1:22" s="17" customFormat="1" ht="15" customHeight="1" x14ac:dyDescent="0.3">
      <c r="A19" s="18" t="s">
        <v>59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18"/>
      <c r="T19" s="22"/>
      <c r="U19" s="22"/>
      <c r="V19" s="22"/>
    </row>
    <row r="20" spans="1:22" ht="15" customHeight="1" x14ac:dyDescent="0.3">
      <c r="A20" s="4" t="s">
        <v>60</v>
      </c>
      <c r="B20" s="5">
        <v>145072580</v>
      </c>
      <c r="C20" s="5">
        <v>144611688</v>
      </c>
      <c r="D20" s="5">
        <v>144611688</v>
      </c>
      <c r="E20" s="5">
        <v>144611688</v>
      </c>
      <c r="F20" s="5">
        <v>144611688</v>
      </c>
      <c r="G20" s="5">
        <v>144611688</v>
      </c>
      <c r="H20" s="5">
        <v>144611688</v>
      </c>
      <c r="I20" s="5">
        <v>144611688</v>
      </c>
      <c r="J20" s="5">
        <v>144611688</v>
      </c>
      <c r="K20" s="5">
        <v>144611688</v>
      </c>
      <c r="L20" s="5">
        <v>144611688</v>
      </c>
      <c r="M20" s="5">
        <v>140002731</v>
      </c>
      <c r="N20" s="5">
        <v>140002731</v>
      </c>
      <c r="O20" s="5">
        <v>140002731</v>
      </c>
      <c r="P20" s="5">
        <v>140002731</v>
      </c>
      <c r="Q20" s="5">
        <v>140002731</v>
      </c>
      <c r="R20" s="5">
        <v>140002731</v>
      </c>
      <c r="S20" s="4">
        <v>280005462</v>
      </c>
      <c r="T20" s="5">
        <v>280005462</v>
      </c>
      <c r="U20" s="5">
        <v>280005462</v>
      </c>
      <c r="V20" s="5">
        <v>280005462</v>
      </c>
    </row>
    <row r="21" spans="1:22" ht="15" customHeight="1" x14ac:dyDescent="0.3">
      <c r="A21" s="6" t="s">
        <v>61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7"/>
      <c r="P21" s="23"/>
      <c r="Q21" s="23"/>
      <c r="R21" s="23">
        <v>140002731</v>
      </c>
      <c r="S21" s="6"/>
      <c r="T21" s="23"/>
      <c r="U21" s="23"/>
      <c r="V21" s="23"/>
    </row>
    <row r="22" spans="1:22" ht="15" customHeight="1" x14ac:dyDescent="0.3">
      <c r="A22" s="4" t="s">
        <v>62</v>
      </c>
      <c r="B22" s="5">
        <v>78629880</v>
      </c>
      <c r="C22" s="5">
        <v>78629880</v>
      </c>
      <c r="D22" s="5">
        <v>78629880</v>
      </c>
      <c r="E22" s="5">
        <v>78953630</v>
      </c>
      <c r="F22" s="5">
        <v>78953630</v>
      </c>
      <c r="G22" s="5">
        <v>78953630</v>
      </c>
      <c r="H22" s="5">
        <v>78953630</v>
      </c>
      <c r="I22" s="5">
        <v>78953630</v>
      </c>
      <c r="J22" s="5">
        <v>79338742</v>
      </c>
      <c r="K22" s="5">
        <v>72536290</v>
      </c>
      <c r="L22" s="5">
        <v>72536290</v>
      </c>
      <c r="M22" s="5">
        <v>72536289</v>
      </c>
      <c r="N22" s="5">
        <v>72536289</v>
      </c>
      <c r="O22" s="5">
        <v>72536289</v>
      </c>
      <c r="P22" s="5">
        <v>72536289</v>
      </c>
      <c r="Q22" s="5">
        <v>72536289</v>
      </c>
      <c r="R22" s="5">
        <v>72536289</v>
      </c>
      <c r="S22" s="4">
        <v>72536289</v>
      </c>
      <c r="T22" s="5">
        <v>72536289</v>
      </c>
      <c r="U22" s="5">
        <v>140002729</v>
      </c>
      <c r="V22" s="5">
        <v>140002729</v>
      </c>
    </row>
    <row r="23" spans="1:22" ht="15" customHeight="1" x14ac:dyDescent="0.3">
      <c r="A23" s="6" t="s">
        <v>63</v>
      </c>
      <c r="B23" s="7">
        <v>1719812</v>
      </c>
      <c r="C23" s="7">
        <v>2866596</v>
      </c>
      <c r="D23" s="7">
        <v>1615240</v>
      </c>
      <c r="E23" s="7">
        <v>1190318</v>
      </c>
      <c r="F23" s="7">
        <v>-11128183</v>
      </c>
      <c r="G23" s="7">
        <v>-17759720</v>
      </c>
      <c r="H23" s="7">
        <v>-28555699</v>
      </c>
      <c r="I23" s="7">
        <v>-42273721</v>
      </c>
      <c r="J23" s="7">
        <v>-69820142</v>
      </c>
      <c r="K23" s="7">
        <v>-69622927</v>
      </c>
      <c r="L23" s="7">
        <v>-75158386</v>
      </c>
      <c r="M23" s="7">
        <v>-50615771</v>
      </c>
      <c r="N23" s="7">
        <v>-175998875</v>
      </c>
      <c r="O23" s="7">
        <v>-177822645</v>
      </c>
      <c r="P23" s="7">
        <v>-171560881</v>
      </c>
      <c r="Q23" s="7">
        <v>-208115650</v>
      </c>
      <c r="R23" s="7">
        <v>-195798984</v>
      </c>
      <c r="S23" s="6">
        <v>-171278902</v>
      </c>
      <c r="T23" s="7">
        <v>-148863969</v>
      </c>
      <c r="U23" s="7">
        <v>-143568018</v>
      </c>
      <c r="V23" s="7">
        <v>-272431095</v>
      </c>
    </row>
    <row r="24" spans="1:22" ht="15" customHeight="1" x14ac:dyDescent="0.3">
      <c r="A24" s="4" t="s">
        <v>64</v>
      </c>
      <c r="B24" s="5">
        <v>-32132098</v>
      </c>
      <c r="C24" s="5">
        <v>-46229227</v>
      </c>
      <c r="D24" s="5">
        <v>-46229227</v>
      </c>
      <c r="E24" s="5">
        <v>-32132098</v>
      </c>
      <c r="F24" s="5">
        <v>-32132098</v>
      </c>
      <c r="G24" s="5">
        <v>-32132098</v>
      </c>
      <c r="H24" s="5">
        <v>-32132098</v>
      </c>
      <c r="I24" s="5">
        <v>-32132098</v>
      </c>
      <c r="J24" s="5">
        <v>-32132098</v>
      </c>
      <c r="K24" s="5">
        <v>-32132098</v>
      </c>
      <c r="L24" s="5">
        <v>-32132098</v>
      </c>
      <c r="M24" s="5">
        <v>-32132098</v>
      </c>
      <c r="N24" s="5">
        <v>-32132098</v>
      </c>
      <c r="O24" s="5">
        <v>-32132098</v>
      </c>
      <c r="P24" s="5">
        <v>-32132098</v>
      </c>
      <c r="Q24" s="5">
        <v>-32132098</v>
      </c>
      <c r="R24" s="5">
        <v>-32132098</v>
      </c>
      <c r="S24" s="4">
        <v>-32132098</v>
      </c>
      <c r="T24" s="5">
        <v>-32132098</v>
      </c>
      <c r="U24" s="5">
        <v>-32132098</v>
      </c>
      <c r="V24" s="5">
        <v>-32132098</v>
      </c>
    </row>
    <row r="25" spans="1:22" ht="15" customHeight="1" x14ac:dyDescent="0.3">
      <c r="A25" s="6" t="s">
        <v>65</v>
      </c>
      <c r="B25" s="7">
        <v>-22556296</v>
      </c>
      <c r="C25" s="23"/>
      <c r="D25" s="23"/>
      <c r="E25" s="23"/>
      <c r="F25" s="7"/>
      <c r="G25" s="7"/>
      <c r="H25" s="7">
        <v>-58891581</v>
      </c>
      <c r="I25" s="7">
        <v>-160827557</v>
      </c>
      <c r="J25" s="23">
        <v>-160827557</v>
      </c>
      <c r="K25" s="23">
        <v>-266012536</v>
      </c>
      <c r="L25" s="23">
        <v>-266012536</v>
      </c>
      <c r="M25" s="23"/>
      <c r="N25" s="23"/>
      <c r="O25" s="23"/>
      <c r="P25" s="7"/>
      <c r="Q25" s="7"/>
      <c r="R25" s="7"/>
      <c r="S25" s="6"/>
      <c r="T25" s="7">
        <v>-192608865</v>
      </c>
      <c r="U25" s="23">
        <v>-192608865</v>
      </c>
      <c r="V25" s="23">
        <v>-192608865</v>
      </c>
    </row>
    <row r="26" spans="1:22" ht="15" customHeight="1" x14ac:dyDescent="0.3">
      <c r="A26" s="4" t="s">
        <v>66</v>
      </c>
      <c r="B26" s="5">
        <v>1501675740</v>
      </c>
      <c r="C26" s="5">
        <v>1562276544</v>
      </c>
      <c r="D26" s="5">
        <v>1675027250</v>
      </c>
      <c r="E26" s="5">
        <v>1866823044</v>
      </c>
      <c r="F26" s="5">
        <v>2014894125</v>
      </c>
      <c r="G26" s="5">
        <v>2011547188</v>
      </c>
      <c r="H26" s="5">
        <v>2298517553</v>
      </c>
      <c r="I26" s="5">
        <v>2633270813</v>
      </c>
      <c r="J26" s="5">
        <v>2607028669</v>
      </c>
      <c r="K26" s="5">
        <v>2999698207</v>
      </c>
      <c r="L26" s="5">
        <v>3430335474</v>
      </c>
      <c r="M26" s="5">
        <v>3199422434</v>
      </c>
      <c r="N26" s="5">
        <v>3339241190</v>
      </c>
      <c r="O26" s="5">
        <v>3657439659</v>
      </c>
      <c r="P26" s="5">
        <v>4019147595</v>
      </c>
      <c r="Q26" s="5">
        <v>3943619260</v>
      </c>
      <c r="R26" s="5">
        <v>4218392766</v>
      </c>
      <c r="S26" s="4">
        <v>4049048455</v>
      </c>
      <c r="T26" s="5">
        <v>4764564748</v>
      </c>
      <c r="U26" s="5">
        <v>5672826654</v>
      </c>
      <c r="V26" s="5">
        <v>6546646493</v>
      </c>
    </row>
    <row r="27" spans="1:22" ht="15" customHeight="1" x14ac:dyDescent="0.3">
      <c r="A27" s="6" t="s">
        <v>67</v>
      </c>
      <c r="B27" s="7">
        <v>34095761</v>
      </c>
      <c r="C27" s="7">
        <v>16856243</v>
      </c>
      <c r="D27" s="7">
        <v>21469868</v>
      </c>
      <c r="E27" s="7">
        <v>590046</v>
      </c>
      <c r="F27" s="7">
        <v>544955</v>
      </c>
      <c r="G27" s="7">
        <v>19898273</v>
      </c>
      <c r="H27" s="7">
        <v>32989334</v>
      </c>
      <c r="I27" s="7">
        <v>40579768</v>
      </c>
      <c r="J27" s="7">
        <v>53704746</v>
      </c>
      <c r="K27" s="7">
        <v>51478618</v>
      </c>
      <c r="L27" s="7">
        <v>44070453</v>
      </c>
      <c r="M27" s="7">
        <v>73686956</v>
      </c>
      <c r="N27" s="7">
        <v>115398273</v>
      </c>
      <c r="O27" s="7">
        <v>113823117</v>
      </c>
      <c r="P27" s="7">
        <v>112259979</v>
      </c>
      <c r="Q27" s="7">
        <v>101270857</v>
      </c>
      <c r="R27" s="7">
        <v>100993473</v>
      </c>
      <c r="S27" s="6">
        <v>97795757</v>
      </c>
      <c r="T27" s="7">
        <v>436782927</v>
      </c>
      <c r="U27" s="7">
        <v>367793335</v>
      </c>
      <c r="V27" s="7">
        <v>449951986</v>
      </c>
    </row>
    <row r="28" spans="1:22" ht="15" customHeight="1" x14ac:dyDescent="0.3">
      <c r="A28" s="8" t="s">
        <v>68</v>
      </c>
      <c r="B28" s="24">
        <f t="shared" ref="B28:V28" si="1">SUM(B20:B27)</f>
        <v>1706505379</v>
      </c>
      <c r="C28" s="24">
        <f t="shared" si="1"/>
        <v>1759011724</v>
      </c>
      <c r="D28" s="24">
        <f t="shared" si="1"/>
        <v>1875124699</v>
      </c>
      <c r="E28" s="24">
        <f t="shared" si="1"/>
        <v>2060036628</v>
      </c>
      <c r="F28" s="24">
        <f t="shared" si="1"/>
        <v>2195744117</v>
      </c>
      <c r="G28" s="24">
        <f t="shared" si="1"/>
        <v>2205118961</v>
      </c>
      <c r="H28" s="24">
        <f t="shared" si="1"/>
        <v>2435492827</v>
      </c>
      <c r="I28" s="24">
        <f t="shared" si="1"/>
        <v>2662182523</v>
      </c>
      <c r="J28" s="24">
        <f t="shared" si="1"/>
        <v>2621904048</v>
      </c>
      <c r="K28" s="24">
        <f t="shared" si="1"/>
        <v>2900557242</v>
      </c>
      <c r="L28" s="24">
        <f t="shared" si="1"/>
        <v>3318250885</v>
      </c>
      <c r="M28" s="24">
        <f t="shared" si="1"/>
        <v>3402900541</v>
      </c>
      <c r="N28" s="24">
        <f t="shared" si="1"/>
        <v>3459047510</v>
      </c>
      <c r="O28" s="24">
        <f t="shared" si="1"/>
        <v>3773847053</v>
      </c>
      <c r="P28" s="24">
        <f t="shared" si="1"/>
        <v>4140253615</v>
      </c>
      <c r="Q28" s="24">
        <f t="shared" si="1"/>
        <v>4017181389</v>
      </c>
      <c r="R28" s="24">
        <f t="shared" si="1"/>
        <v>4443996908</v>
      </c>
      <c r="S28" s="8">
        <f t="shared" si="1"/>
        <v>4295974963</v>
      </c>
      <c r="T28" s="24">
        <f t="shared" si="1"/>
        <v>5180284494</v>
      </c>
      <c r="U28" s="24">
        <f t="shared" si="1"/>
        <v>6092319199</v>
      </c>
      <c r="V28" s="24">
        <f t="shared" si="1"/>
        <v>6919434612</v>
      </c>
    </row>
    <row r="29" spans="1:22" s="17" customFormat="1" ht="15" customHeight="1" x14ac:dyDescent="0.3">
      <c r="A29" s="18" t="s">
        <v>69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18"/>
      <c r="T29" s="22"/>
      <c r="U29" s="22"/>
      <c r="V29" s="22"/>
    </row>
    <row r="30" spans="1:22" ht="15" customHeight="1" x14ac:dyDescent="0.3">
      <c r="A30" s="4" t="s">
        <v>70</v>
      </c>
      <c r="B30" s="5">
        <v>718330248</v>
      </c>
      <c r="C30" s="5">
        <v>689109657</v>
      </c>
      <c r="D30" s="5">
        <v>717161179</v>
      </c>
      <c r="E30" s="5">
        <v>587634700</v>
      </c>
      <c r="F30" s="5">
        <v>624800696</v>
      </c>
      <c r="G30" s="5">
        <v>724394978</v>
      </c>
      <c r="H30" s="5">
        <v>664167702</v>
      </c>
      <c r="I30" s="5">
        <v>739496389</v>
      </c>
      <c r="J30" s="5">
        <v>774086738</v>
      </c>
      <c r="K30" s="5">
        <v>669070263</v>
      </c>
      <c r="L30" s="5">
        <v>781380051</v>
      </c>
      <c r="M30" s="5">
        <v>1129283746</v>
      </c>
      <c r="N30" s="5">
        <v>1548664830</v>
      </c>
      <c r="O30" s="5">
        <v>1856675621</v>
      </c>
      <c r="P30" s="5">
        <v>2015303238</v>
      </c>
      <c r="Q30" s="5">
        <v>2282057064</v>
      </c>
      <c r="R30" s="5">
        <v>2755995420</v>
      </c>
      <c r="S30" s="4">
        <v>2523589344</v>
      </c>
      <c r="T30" s="5">
        <v>3048408172</v>
      </c>
      <c r="U30" s="5">
        <v>2886725728</v>
      </c>
      <c r="V30" s="5">
        <v>3057939556</v>
      </c>
    </row>
    <row r="31" spans="1:22" ht="15" customHeight="1" x14ac:dyDescent="0.3">
      <c r="A31" s="6" t="s">
        <v>71</v>
      </c>
      <c r="B31" s="7">
        <v>8952299</v>
      </c>
      <c r="C31" s="7">
        <v>8723020</v>
      </c>
      <c r="D31" s="7">
        <v>9277655</v>
      </c>
      <c r="E31" s="7">
        <v>9897288</v>
      </c>
      <c r="F31" s="7">
        <v>9145591</v>
      </c>
      <c r="G31" s="7">
        <v>9145091</v>
      </c>
      <c r="H31" s="7">
        <v>8126550</v>
      </c>
      <c r="I31" s="7">
        <v>16912608</v>
      </c>
      <c r="J31" s="7">
        <v>18744509</v>
      </c>
      <c r="K31" s="7">
        <v>18141130</v>
      </c>
      <c r="L31" s="7">
        <v>16849948</v>
      </c>
      <c r="M31" s="7">
        <v>17059424</v>
      </c>
      <c r="N31" s="7">
        <v>22521821</v>
      </c>
      <c r="O31" s="23">
        <v>22468841</v>
      </c>
      <c r="P31" s="7">
        <v>22573137</v>
      </c>
      <c r="Q31" s="7">
        <v>19343101</v>
      </c>
      <c r="R31" s="7"/>
      <c r="S31" s="6">
        <v>20286587</v>
      </c>
      <c r="T31" s="7">
        <v>19197654</v>
      </c>
      <c r="U31" s="7">
        <v>17841111</v>
      </c>
      <c r="V31" s="7">
        <v>19941613</v>
      </c>
    </row>
    <row r="32" spans="1:22" ht="15" customHeight="1" x14ac:dyDescent="0.3">
      <c r="A32" s="4" t="s">
        <v>72</v>
      </c>
      <c r="B32" s="5">
        <v>19838638</v>
      </c>
      <c r="C32" s="5">
        <v>21213305</v>
      </c>
      <c r="D32" s="5">
        <v>22706604</v>
      </c>
      <c r="E32" s="5">
        <v>24103494</v>
      </c>
      <c r="F32" s="5">
        <v>25603494</v>
      </c>
      <c r="G32" s="5">
        <v>26959775</v>
      </c>
      <c r="H32" s="5">
        <v>27737850</v>
      </c>
      <c r="I32" s="5">
        <v>33396656</v>
      </c>
      <c r="J32" s="5">
        <v>32407420</v>
      </c>
      <c r="K32" s="5">
        <v>34573630</v>
      </c>
      <c r="L32" s="5">
        <v>36513850</v>
      </c>
      <c r="M32" s="5">
        <v>55143601</v>
      </c>
      <c r="N32" s="5">
        <v>61140931</v>
      </c>
      <c r="O32" s="5">
        <v>65789982</v>
      </c>
      <c r="P32" s="5">
        <v>71581227</v>
      </c>
      <c r="Q32" s="5">
        <v>75262582</v>
      </c>
      <c r="R32" s="5">
        <v>81333759</v>
      </c>
      <c r="S32" s="4">
        <v>86916760</v>
      </c>
      <c r="T32" s="5">
        <v>92696288</v>
      </c>
      <c r="U32" s="5">
        <v>114366146</v>
      </c>
      <c r="V32" s="5">
        <v>120619795</v>
      </c>
    </row>
    <row r="33" spans="1:22" ht="15" customHeight="1" x14ac:dyDescent="0.3">
      <c r="A33" s="6" t="s">
        <v>73</v>
      </c>
      <c r="B33" s="7">
        <v>178675864</v>
      </c>
      <c r="C33" s="7">
        <v>184397007</v>
      </c>
      <c r="D33" s="7">
        <v>194177722</v>
      </c>
      <c r="E33" s="7">
        <v>204828607</v>
      </c>
      <c r="F33" s="7">
        <v>203035166</v>
      </c>
      <c r="G33" s="7">
        <v>193048743</v>
      </c>
      <c r="H33" s="7">
        <v>206560974</v>
      </c>
      <c r="I33" s="7">
        <v>194682549</v>
      </c>
      <c r="J33" s="7">
        <v>187704647</v>
      </c>
      <c r="K33" s="7">
        <v>206715826</v>
      </c>
      <c r="L33" s="7">
        <v>204711225</v>
      </c>
      <c r="M33" s="7">
        <v>240132883</v>
      </c>
      <c r="N33" s="7">
        <v>216359658</v>
      </c>
      <c r="O33" s="7">
        <v>260959242</v>
      </c>
      <c r="P33" s="7">
        <v>283793717</v>
      </c>
      <c r="Q33" s="7">
        <v>402132045</v>
      </c>
      <c r="R33" s="7">
        <v>414778644</v>
      </c>
      <c r="S33" s="6">
        <v>301901467</v>
      </c>
      <c r="T33" s="7">
        <v>317354796</v>
      </c>
      <c r="U33" s="7">
        <v>369666761</v>
      </c>
      <c r="V33" s="7">
        <v>357438147</v>
      </c>
    </row>
    <row r="34" spans="1:22" ht="15" customHeight="1" x14ac:dyDescent="0.3">
      <c r="A34" s="4" t="s">
        <v>74</v>
      </c>
      <c r="B34" s="5">
        <v>77153124</v>
      </c>
      <c r="C34" s="5">
        <v>75448447</v>
      </c>
      <c r="D34" s="5">
        <v>72847284</v>
      </c>
      <c r="E34" s="5">
        <v>51734242</v>
      </c>
      <c r="F34" s="5">
        <v>49815740</v>
      </c>
      <c r="G34" s="5">
        <v>67398027</v>
      </c>
      <c r="H34" s="5">
        <v>87249411</v>
      </c>
      <c r="I34" s="5">
        <v>102209569</v>
      </c>
      <c r="J34" s="5">
        <v>113931000</v>
      </c>
      <c r="K34" s="5">
        <v>136156743</v>
      </c>
      <c r="L34" s="5">
        <v>130856324</v>
      </c>
      <c r="M34" s="5">
        <v>130944266</v>
      </c>
      <c r="N34" s="5">
        <v>171945690</v>
      </c>
      <c r="O34" s="5">
        <v>173823587</v>
      </c>
      <c r="P34" s="5">
        <v>229315720</v>
      </c>
      <c r="Q34" s="5">
        <v>229107964</v>
      </c>
      <c r="R34" s="5">
        <v>236616917</v>
      </c>
      <c r="S34" s="4">
        <v>260712943</v>
      </c>
      <c r="T34" s="5">
        <v>486334737</v>
      </c>
      <c r="U34" s="5">
        <v>512767017</v>
      </c>
      <c r="V34" s="5">
        <v>596067812</v>
      </c>
    </row>
    <row r="35" spans="1:22" ht="15" customHeight="1" x14ac:dyDescent="0.3">
      <c r="A35" s="6" t="s">
        <v>75</v>
      </c>
      <c r="B35" s="7">
        <v>35221812</v>
      </c>
      <c r="C35" s="7">
        <v>35862197</v>
      </c>
      <c r="D35" s="7">
        <v>37300108</v>
      </c>
      <c r="E35" s="7">
        <v>33978251</v>
      </c>
      <c r="F35" s="7">
        <v>34820100</v>
      </c>
      <c r="G35" s="7">
        <v>36017119</v>
      </c>
      <c r="H35" s="7">
        <v>36793356</v>
      </c>
      <c r="I35" s="7">
        <v>72714382</v>
      </c>
      <c r="J35" s="7">
        <v>79577633</v>
      </c>
      <c r="K35" s="7">
        <v>91728516</v>
      </c>
      <c r="L35" s="7">
        <v>93173519</v>
      </c>
      <c r="M35" s="7">
        <v>105601704</v>
      </c>
      <c r="N35" s="7">
        <v>111153057</v>
      </c>
      <c r="O35" s="7">
        <v>119047434</v>
      </c>
      <c r="P35" s="7">
        <v>128871024</v>
      </c>
      <c r="Q35" s="7">
        <v>99601868</v>
      </c>
      <c r="R35" s="7">
        <v>103293905</v>
      </c>
      <c r="S35" s="6">
        <v>98985499</v>
      </c>
      <c r="T35" s="7">
        <v>93365775</v>
      </c>
      <c r="U35" s="7">
        <v>111646561</v>
      </c>
      <c r="V35" s="7">
        <v>63160752</v>
      </c>
    </row>
    <row r="36" spans="1:22" ht="15" customHeight="1" x14ac:dyDescent="0.3">
      <c r="A36" s="4" t="s">
        <v>76</v>
      </c>
      <c r="B36" s="5">
        <v>28118109</v>
      </c>
      <c r="C36" s="5">
        <v>201889618</v>
      </c>
      <c r="D36" s="5">
        <v>300745343</v>
      </c>
      <c r="E36" s="5">
        <v>404566831</v>
      </c>
      <c r="F36" s="5">
        <v>213028371</v>
      </c>
      <c r="G36" s="5">
        <v>430365827</v>
      </c>
      <c r="H36" s="5">
        <v>373050099</v>
      </c>
      <c r="I36" s="5">
        <v>501662588</v>
      </c>
      <c r="J36" s="5">
        <v>349946625</v>
      </c>
      <c r="K36" s="5">
        <v>964918669</v>
      </c>
      <c r="L36" s="5">
        <v>696049094</v>
      </c>
      <c r="M36" s="5">
        <v>596722472</v>
      </c>
      <c r="N36" s="5">
        <v>866703114</v>
      </c>
      <c r="O36" s="5">
        <v>388410854</v>
      </c>
      <c r="P36" s="5">
        <v>839070484</v>
      </c>
      <c r="Q36" s="5">
        <v>808368965</v>
      </c>
      <c r="R36" s="5">
        <v>452465022</v>
      </c>
      <c r="S36" s="4">
        <v>702879167</v>
      </c>
      <c r="T36" s="5">
        <v>1024709593</v>
      </c>
      <c r="U36" s="5">
        <v>771424343</v>
      </c>
      <c r="V36" s="5">
        <v>902032996</v>
      </c>
    </row>
    <row r="37" spans="1:22" ht="15" customHeight="1" x14ac:dyDescent="0.3">
      <c r="A37" s="6" t="s">
        <v>77</v>
      </c>
      <c r="B37" s="7">
        <v>803004198</v>
      </c>
      <c r="C37" s="7">
        <v>622687793</v>
      </c>
      <c r="D37" s="7">
        <v>660485107</v>
      </c>
      <c r="E37" s="7">
        <v>605949105</v>
      </c>
      <c r="F37" s="7">
        <v>666027733</v>
      </c>
      <c r="G37" s="7">
        <v>684257684</v>
      </c>
      <c r="H37" s="7">
        <v>911521896</v>
      </c>
      <c r="I37" s="7">
        <v>1006229685</v>
      </c>
      <c r="J37" s="7">
        <v>1552105314</v>
      </c>
      <c r="K37" s="7">
        <v>1175705669</v>
      </c>
      <c r="L37" s="7">
        <v>1140929731</v>
      </c>
      <c r="M37" s="7">
        <v>1383888532</v>
      </c>
      <c r="N37" s="7">
        <v>1858305563</v>
      </c>
      <c r="O37" s="7">
        <v>1714528601</v>
      </c>
      <c r="P37" s="7">
        <v>1991682634</v>
      </c>
      <c r="Q37" s="7">
        <v>1747657368</v>
      </c>
      <c r="R37" s="7">
        <v>1631883708</v>
      </c>
      <c r="S37" s="6">
        <v>1282750762</v>
      </c>
      <c r="T37" s="7">
        <v>1396790456</v>
      </c>
      <c r="U37" s="7">
        <v>1582315367</v>
      </c>
      <c r="V37" s="7">
        <v>1741629704</v>
      </c>
    </row>
    <row r="38" spans="1:22" ht="15" customHeight="1" x14ac:dyDescent="0.3">
      <c r="A38" s="4" t="s">
        <v>78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5"/>
      <c r="Q38" s="5"/>
      <c r="R38" s="5"/>
      <c r="S38" s="4">
        <v>1160105256</v>
      </c>
      <c r="T38" s="10">
        <v>1143843597</v>
      </c>
      <c r="U38" s="10">
        <v>932749514</v>
      </c>
      <c r="V38" s="10">
        <v>1243414604</v>
      </c>
    </row>
    <row r="39" spans="1:22" ht="15" customHeight="1" x14ac:dyDescent="0.3">
      <c r="A39" s="6" t="s">
        <v>79</v>
      </c>
      <c r="B39" s="7">
        <v>189201771</v>
      </c>
      <c r="C39" s="7">
        <v>187687114</v>
      </c>
      <c r="D39" s="7">
        <v>198384430</v>
      </c>
      <c r="E39" s="7">
        <v>197005385</v>
      </c>
      <c r="F39" s="7">
        <v>211734212</v>
      </c>
      <c r="G39" s="7">
        <v>222509173</v>
      </c>
      <c r="H39" s="7">
        <v>299317615</v>
      </c>
      <c r="I39" s="7">
        <v>244539007</v>
      </c>
      <c r="J39" s="7">
        <v>317882127</v>
      </c>
      <c r="K39" s="7">
        <v>354061456</v>
      </c>
      <c r="L39" s="7">
        <v>361464563</v>
      </c>
      <c r="M39" s="7">
        <v>297757493</v>
      </c>
      <c r="N39" s="7">
        <v>272760115</v>
      </c>
      <c r="O39" s="7">
        <v>340084334</v>
      </c>
      <c r="P39" s="7">
        <v>257724321</v>
      </c>
      <c r="Q39" s="7">
        <v>372899145</v>
      </c>
      <c r="R39" s="7">
        <v>454055445</v>
      </c>
      <c r="S39" s="6">
        <v>591468538</v>
      </c>
      <c r="T39" s="7">
        <v>768292584</v>
      </c>
      <c r="U39" s="7">
        <v>813869286</v>
      </c>
      <c r="V39" s="7">
        <v>999364058</v>
      </c>
    </row>
    <row r="40" spans="1:22" ht="15" customHeight="1" x14ac:dyDescent="0.3">
      <c r="A40" s="4" t="s">
        <v>80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5"/>
      <c r="Q40" s="5"/>
      <c r="R40" s="5"/>
      <c r="S40" s="4">
        <v>3226290</v>
      </c>
      <c r="T40" s="10">
        <v>3023074</v>
      </c>
      <c r="U40" s="10">
        <v>2587049</v>
      </c>
      <c r="V40" s="10">
        <v>2318516</v>
      </c>
    </row>
    <row r="41" spans="1:22" ht="15" customHeight="1" x14ac:dyDescent="0.3">
      <c r="A41" s="6" t="s">
        <v>81</v>
      </c>
      <c r="B41" s="7">
        <v>55203085</v>
      </c>
      <c r="C41" s="7">
        <v>3565908</v>
      </c>
      <c r="D41" s="7">
        <v>1669593</v>
      </c>
      <c r="E41" s="7">
        <v>30584092</v>
      </c>
      <c r="F41" s="7">
        <v>89867694</v>
      </c>
      <c r="G41" s="7">
        <v>106612205</v>
      </c>
      <c r="H41" s="7">
        <v>176999679</v>
      </c>
      <c r="I41" s="7">
        <v>197610283</v>
      </c>
      <c r="J41" s="7">
        <v>315495614</v>
      </c>
      <c r="K41" s="7">
        <v>204875393</v>
      </c>
      <c r="L41" s="7">
        <v>318283876</v>
      </c>
      <c r="M41" s="7">
        <v>387712322</v>
      </c>
      <c r="N41" s="7">
        <v>540089660</v>
      </c>
      <c r="O41" s="7">
        <v>233515937</v>
      </c>
      <c r="P41" s="7">
        <v>269764027</v>
      </c>
      <c r="Q41" s="7">
        <v>248382615</v>
      </c>
      <c r="R41" s="7">
        <v>376289070</v>
      </c>
      <c r="S41" s="6">
        <v>218276029</v>
      </c>
      <c r="T41" s="7">
        <v>219653272</v>
      </c>
      <c r="U41" s="7">
        <v>514276098</v>
      </c>
      <c r="V41" s="7">
        <v>764162461</v>
      </c>
    </row>
    <row r="42" spans="1:22" ht="15" customHeight="1" x14ac:dyDescent="0.3">
      <c r="A42" s="4" t="s">
        <v>82</v>
      </c>
      <c r="B42" s="5">
        <v>6869116</v>
      </c>
      <c r="C42" s="5">
        <v>7112016</v>
      </c>
      <c r="D42" s="5">
        <v>7741015</v>
      </c>
      <c r="E42" s="5">
        <v>7851551</v>
      </c>
      <c r="F42" s="5">
        <v>8737251</v>
      </c>
      <c r="G42" s="5">
        <v>9104933</v>
      </c>
      <c r="H42" s="5">
        <v>12336384</v>
      </c>
      <c r="I42" s="5">
        <v>12270463</v>
      </c>
      <c r="J42" s="5">
        <v>12870374</v>
      </c>
      <c r="K42" s="5">
        <v>13719511</v>
      </c>
      <c r="L42" s="5">
        <v>13110684</v>
      </c>
      <c r="M42" s="5">
        <v>10492859</v>
      </c>
      <c r="N42" s="5">
        <v>10874029</v>
      </c>
      <c r="O42" s="5">
        <v>10124160</v>
      </c>
      <c r="P42" s="5">
        <v>8955498</v>
      </c>
      <c r="Q42" s="5">
        <v>7677961</v>
      </c>
      <c r="R42" s="5">
        <v>9225991</v>
      </c>
      <c r="S42" s="4">
        <v>9040364</v>
      </c>
      <c r="T42" s="5">
        <v>12721416</v>
      </c>
      <c r="U42" s="5">
        <v>16267911</v>
      </c>
      <c r="V42" s="5">
        <v>17040707</v>
      </c>
    </row>
    <row r="43" spans="1:22" ht="15" customHeight="1" x14ac:dyDescent="0.3">
      <c r="A43" s="8" t="s">
        <v>83</v>
      </c>
      <c r="B43" s="24">
        <f t="shared" ref="B43:V43" si="2">SUM(B30:B42)</f>
        <v>2120568264</v>
      </c>
      <c r="C43" s="24">
        <f t="shared" si="2"/>
        <v>2037696082</v>
      </c>
      <c r="D43" s="24">
        <f t="shared" si="2"/>
        <v>2222496040</v>
      </c>
      <c r="E43" s="24">
        <f t="shared" si="2"/>
        <v>2158133546</v>
      </c>
      <c r="F43" s="24">
        <f t="shared" si="2"/>
        <v>2136616048</v>
      </c>
      <c r="G43" s="24">
        <f t="shared" si="2"/>
        <v>2509813555</v>
      </c>
      <c r="H43" s="24">
        <f t="shared" si="2"/>
        <v>2803861516</v>
      </c>
      <c r="I43" s="24">
        <f t="shared" si="2"/>
        <v>3121724179</v>
      </c>
      <c r="J43" s="24">
        <f t="shared" si="2"/>
        <v>3754752001</v>
      </c>
      <c r="K43" s="24">
        <f t="shared" si="2"/>
        <v>3869666806</v>
      </c>
      <c r="L43" s="24">
        <f t="shared" si="2"/>
        <v>3793322865</v>
      </c>
      <c r="M43" s="24">
        <f t="shared" si="2"/>
        <v>4354739302</v>
      </c>
      <c r="N43" s="24">
        <f t="shared" si="2"/>
        <v>5680518468</v>
      </c>
      <c r="O43" s="24">
        <f t="shared" si="2"/>
        <v>5185428593</v>
      </c>
      <c r="P43" s="24">
        <f t="shared" si="2"/>
        <v>6118635027</v>
      </c>
      <c r="Q43" s="24">
        <f t="shared" si="2"/>
        <v>6292490678</v>
      </c>
      <c r="R43" s="24">
        <f t="shared" si="2"/>
        <v>6515937881</v>
      </c>
      <c r="S43" s="8">
        <f t="shared" si="2"/>
        <v>7260139006</v>
      </c>
      <c r="T43" s="24">
        <f t="shared" si="2"/>
        <v>8626391414</v>
      </c>
      <c r="U43" s="24">
        <f t="shared" si="2"/>
        <v>8646502892</v>
      </c>
      <c r="V43" s="24">
        <f t="shared" si="2"/>
        <v>9885130721</v>
      </c>
    </row>
    <row r="44" spans="1:22" ht="15" customHeight="1" x14ac:dyDescent="0.3">
      <c r="A44" s="8" t="s">
        <v>84</v>
      </c>
      <c r="B44" s="24">
        <f t="shared" ref="B44:V44" si="3">B28+B43</f>
        <v>3827073643</v>
      </c>
      <c r="C44" s="24">
        <f t="shared" si="3"/>
        <v>3796707806</v>
      </c>
      <c r="D44" s="24">
        <f t="shared" si="3"/>
        <v>4097620739</v>
      </c>
      <c r="E44" s="24">
        <f t="shared" si="3"/>
        <v>4218170174</v>
      </c>
      <c r="F44" s="24">
        <f t="shared" si="3"/>
        <v>4332360165</v>
      </c>
      <c r="G44" s="24">
        <f t="shared" si="3"/>
        <v>4714932516</v>
      </c>
      <c r="H44" s="24">
        <f t="shared" si="3"/>
        <v>5239354343</v>
      </c>
      <c r="I44" s="24">
        <f t="shared" si="3"/>
        <v>5783906702</v>
      </c>
      <c r="J44" s="24">
        <f t="shared" si="3"/>
        <v>6376656049</v>
      </c>
      <c r="K44" s="24">
        <f t="shared" si="3"/>
        <v>6770224048</v>
      </c>
      <c r="L44" s="24">
        <f t="shared" si="3"/>
        <v>7111573750</v>
      </c>
      <c r="M44" s="24">
        <f t="shared" si="3"/>
        <v>7757639843</v>
      </c>
      <c r="N44" s="24">
        <f t="shared" si="3"/>
        <v>9139565978</v>
      </c>
      <c r="O44" s="24">
        <f t="shared" si="3"/>
        <v>8959275646</v>
      </c>
      <c r="P44" s="24">
        <f t="shared" si="3"/>
        <v>10258888642</v>
      </c>
      <c r="Q44" s="24">
        <f t="shared" si="3"/>
        <v>10309672067</v>
      </c>
      <c r="R44" s="24">
        <f t="shared" si="3"/>
        <v>10959934789</v>
      </c>
      <c r="S44" s="8">
        <f t="shared" si="3"/>
        <v>11556113969</v>
      </c>
      <c r="T44" s="24">
        <f t="shared" si="3"/>
        <v>13806675908</v>
      </c>
      <c r="U44" s="24">
        <f t="shared" si="3"/>
        <v>14738822091</v>
      </c>
      <c r="V44" s="24">
        <f t="shared" si="3"/>
        <v>16804565333</v>
      </c>
    </row>
    <row r="45" spans="1:22" ht="15" customHeight="1" x14ac:dyDescent="0.3">
      <c r="A45" s="19" t="s">
        <v>85</v>
      </c>
      <c r="B45" s="44" t="str">
        <f t="shared" ref="B45:V45" si="4">IF(B44=B18,"-","No")</f>
        <v>-</v>
      </c>
      <c r="C45" s="44" t="str">
        <f t="shared" si="4"/>
        <v>-</v>
      </c>
      <c r="D45" s="44" t="str">
        <f t="shared" si="4"/>
        <v>-</v>
      </c>
      <c r="E45" s="44" t="str">
        <f t="shared" si="4"/>
        <v>-</v>
      </c>
      <c r="F45" s="44" t="str">
        <f t="shared" si="4"/>
        <v>-</v>
      </c>
      <c r="G45" s="44" t="str">
        <f t="shared" si="4"/>
        <v>-</v>
      </c>
      <c r="H45" s="44" t="str">
        <f t="shared" si="4"/>
        <v>-</v>
      </c>
      <c r="I45" s="44" t="str">
        <f t="shared" si="4"/>
        <v>-</v>
      </c>
      <c r="J45" s="44" t="str">
        <f t="shared" si="4"/>
        <v>-</v>
      </c>
      <c r="K45" s="44" t="str">
        <f t="shared" si="4"/>
        <v>-</v>
      </c>
      <c r="L45" s="44" t="str">
        <f t="shared" si="4"/>
        <v>-</v>
      </c>
      <c r="M45" s="44" t="str">
        <f t="shared" si="4"/>
        <v>-</v>
      </c>
      <c r="N45" s="44" t="str">
        <f t="shared" si="4"/>
        <v>-</v>
      </c>
      <c r="O45" s="44" t="str">
        <f t="shared" si="4"/>
        <v>-</v>
      </c>
      <c r="P45" s="44" t="str">
        <f t="shared" si="4"/>
        <v>-</v>
      </c>
      <c r="Q45" s="44" t="str">
        <f t="shared" si="4"/>
        <v>-</v>
      </c>
      <c r="R45" s="44" t="str">
        <f t="shared" si="4"/>
        <v>-</v>
      </c>
      <c r="S45" s="19" t="str">
        <f t="shared" si="4"/>
        <v>-</v>
      </c>
      <c r="T45" s="44" t="str">
        <f t="shared" si="4"/>
        <v>-</v>
      </c>
      <c r="U45" s="44" t="str">
        <f t="shared" si="4"/>
        <v>-</v>
      </c>
      <c r="V45" s="44" t="str">
        <f t="shared" si="4"/>
        <v>-</v>
      </c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227"/>
  </sheetPr>
  <dimension ref="A1:Y42"/>
  <sheetViews>
    <sheetView showGridLines="0" zoomScale="103" zoomScaleNormal="90" workbookViewId="0">
      <pane xSplit="1" ySplit="4" topLeftCell="E5" activePane="bottomRight" state="frozen"/>
      <selection pane="topRight" activeCell="B1" sqref="B1"/>
      <selection pane="bottomLeft" activeCell="A5" sqref="A5"/>
      <selection pane="bottomRight" activeCell="A5" sqref="A5:XFD5"/>
    </sheetView>
  </sheetViews>
  <sheetFormatPr defaultColWidth="8.6640625" defaultRowHeight="14.4" x14ac:dyDescent="0.3"/>
  <cols>
    <col min="1" max="1" width="32.44140625" bestFit="1" customWidth="1"/>
    <col min="2" max="4" width="12.33203125" hidden="1" customWidth="1"/>
    <col min="5" max="5" width="12.33203125" bestFit="1" customWidth="1"/>
    <col min="6" max="8" width="12.33203125" hidden="1" customWidth="1"/>
    <col min="9" max="9" width="12.33203125" bestFit="1" customWidth="1"/>
    <col min="10" max="12" width="13.88671875" hidden="1" customWidth="1"/>
    <col min="13" max="13" width="13.88671875" bestFit="1" customWidth="1"/>
    <col min="14" max="16" width="13.88671875" hidden="1" customWidth="1"/>
    <col min="17" max="17" width="13.88671875" bestFit="1" customWidth="1"/>
    <col min="18" max="20" width="13.88671875" hidden="1" customWidth="1"/>
    <col min="21" max="22" width="13.88671875" bestFit="1" customWidth="1"/>
  </cols>
  <sheetData>
    <row r="1" spans="1:22" ht="24" customHeight="1" x14ac:dyDescent="0.3">
      <c r="A1" s="54" t="s">
        <v>116</v>
      </c>
      <c r="B1" s="54"/>
      <c r="C1" s="54"/>
      <c r="D1" s="54"/>
      <c r="E1" s="54"/>
      <c r="F1" s="54"/>
    </row>
    <row r="2" spans="1:22" ht="15" customHeight="1" x14ac:dyDescent="0.3">
      <c r="A2" s="55"/>
      <c r="B2" s="55"/>
      <c r="C2" s="55"/>
      <c r="D2" s="55"/>
      <c r="E2" s="55"/>
      <c r="F2" s="55"/>
    </row>
    <row r="4" spans="1:22" s="17" customFormat="1" ht="15" customHeight="1" x14ac:dyDescent="0.3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2" t="s">
        <v>6</v>
      </c>
      <c r="G4" s="2" t="s">
        <v>7</v>
      </c>
      <c r="H4" s="2" t="s">
        <v>8</v>
      </c>
      <c r="I4" s="3" t="s">
        <v>9</v>
      </c>
      <c r="J4" s="2" t="s">
        <v>10</v>
      </c>
      <c r="K4" s="2" t="s">
        <v>11</v>
      </c>
      <c r="L4" s="2" t="s">
        <v>12</v>
      </c>
      <c r="M4" s="3" t="s">
        <v>13</v>
      </c>
      <c r="N4" s="2" t="s">
        <v>14</v>
      </c>
      <c r="O4" s="2" t="s">
        <v>15</v>
      </c>
      <c r="P4" s="2" t="s">
        <v>16</v>
      </c>
      <c r="Q4" s="3" t="s">
        <v>17</v>
      </c>
      <c r="R4" s="2" t="s">
        <v>18</v>
      </c>
      <c r="S4" s="2" t="s">
        <v>19</v>
      </c>
      <c r="T4" s="2" t="s">
        <v>20</v>
      </c>
      <c r="U4" s="3" t="s">
        <v>21</v>
      </c>
      <c r="V4" s="2" t="s">
        <v>22</v>
      </c>
    </row>
    <row r="5" spans="1:22" s="17" customFormat="1" ht="15" customHeight="1" x14ac:dyDescent="0.3">
      <c r="A5" s="4" t="s">
        <v>117</v>
      </c>
      <c r="B5" s="25">
        <v>4</v>
      </c>
      <c r="C5" s="25">
        <v>4</v>
      </c>
      <c r="D5" s="25">
        <v>4</v>
      </c>
      <c r="E5" s="25">
        <v>1</v>
      </c>
      <c r="F5" s="25">
        <v>4</v>
      </c>
      <c r="G5" s="25">
        <v>4</v>
      </c>
      <c r="H5" s="25">
        <v>4</v>
      </c>
      <c r="I5" s="25">
        <v>1</v>
      </c>
      <c r="J5" s="25">
        <v>4</v>
      </c>
      <c r="K5" s="25">
        <v>4</v>
      </c>
      <c r="L5" s="25">
        <v>4</v>
      </c>
      <c r="M5" s="25">
        <v>1</v>
      </c>
      <c r="N5" s="25">
        <v>4</v>
      </c>
      <c r="O5" s="25">
        <v>4</v>
      </c>
      <c r="P5" s="25">
        <v>4</v>
      </c>
      <c r="Q5" s="25">
        <v>1</v>
      </c>
      <c r="R5" s="25">
        <v>4</v>
      </c>
      <c r="S5" s="25">
        <v>4</v>
      </c>
      <c r="T5" s="25">
        <v>4</v>
      </c>
      <c r="U5" s="25">
        <v>1</v>
      </c>
      <c r="V5" s="25">
        <v>4</v>
      </c>
    </row>
    <row r="6" spans="1:22" ht="15" customHeight="1" x14ac:dyDescent="0.3">
      <c r="A6" s="26" t="s">
        <v>118</v>
      </c>
      <c r="B6" s="27"/>
      <c r="C6" s="27"/>
      <c r="D6" s="27"/>
      <c r="E6" s="27"/>
      <c r="F6" s="27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 ht="15" customHeight="1" x14ac:dyDescent="0.3">
      <c r="A7" s="4" t="s">
        <v>119</v>
      </c>
      <c r="B7" s="29">
        <f>SUM('Balance Sheet'!B11:B17)/SUM('Balance Sheet'!B35:B42)</f>
        <v>1.1323066378316169</v>
      </c>
      <c r="C7" s="29">
        <f>SUM('Balance Sheet'!C11:C17)/SUM('Balance Sheet'!C35:C42)</f>
        <v>1.1480785710492623</v>
      </c>
      <c r="D7" s="29">
        <f>SUM('Balance Sheet'!D11:D17)/SUM('Balance Sheet'!D35:D42)</f>
        <v>1.2605788644809623</v>
      </c>
      <c r="E7" s="29">
        <f>SUM('Balance Sheet'!E11:E17)/SUM('Balance Sheet'!E35:E42)</f>
        <v>1.3713472560406115</v>
      </c>
      <c r="F7" s="29">
        <f>SUM('Balance Sheet'!F11:F17)/SUM('Balance Sheet'!F35:F42)</f>
        <v>1.5352503390128593</v>
      </c>
      <c r="G7" s="30">
        <f>SUM('Balance Sheet'!G11:G17)/SUM('Balance Sheet'!G35:G42)</f>
        <v>1.3841758549731946</v>
      </c>
      <c r="H7" s="30">
        <f>SUM('Balance Sheet'!H11:H17)/SUM('Balance Sheet'!H35:H42)</f>
        <v>1.3568976749138917</v>
      </c>
      <c r="I7" s="30">
        <f>SUM('Balance Sheet'!I11:I17)/SUM('Balance Sheet'!I35:I42)</f>
        <v>1.4327790575777137</v>
      </c>
      <c r="J7" s="30">
        <f>SUM('Balance Sheet'!J11:J17)/SUM('Balance Sheet'!J35:J42)</f>
        <v>1.2930864217197489</v>
      </c>
      <c r="K7" s="30">
        <f>SUM('Balance Sheet'!K11:K17)/SUM('Balance Sheet'!K35:K42)</f>
        <v>1.1914919666998285</v>
      </c>
      <c r="L7" s="30">
        <f>SUM('Balance Sheet'!L11:L17)/SUM('Balance Sheet'!L35:L42)</f>
        <v>1.3976326726443549</v>
      </c>
      <c r="M7" s="30">
        <f>SUM('Balance Sheet'!M11:M17)/SUM('Balance Sheet'!M35:M42)</f>
        <v>1.4389421619143634</v>
      </c>
      <c r="N7" s="30">
        <f>SUM('Balance Sheet'!N11:N17)/SUM('Balance Sheet'!N35:N42)</f>
        <v>1.3203266273842689</v>
      </c>
      <c r="O7" s="30">
        <f>SUM('Balance Sheet'!O11:O17)/SUM('Balance Sheet'!O35:O42)</f>
        <v>1.5175460638623364</v>
      </c>
      <c r="P7" s="30">
        <f>SUM('Balance Sheet'!P11:P17)/SUM('Balance Sheet'!P35:P42)</f>
        <v>1.5225380699890438</v>
      </c>
      <c r="Q7" s="30">
        <f>SUM('Balance Sheet'!Q11:Q17)/SUM('Balance Sheet'!Q35:Q42)</f>
        <v>1.5847280954593974</v>
      </c>
      <c r="R7" s="30">
        <f>SUM('Balance Sheet'!R11:R17)/SUM('Balance Sheet'!R35:R42)</f>
        <v>1.8752184417132853</v>
      </c>
      <c r="S7" s="30">
        <f>SUM('Balance Sheet'!S11:S17)/SUM('Balance Sheet'!S35:S42)</f>
        <v>1.5402730984795516</v>
      </c>
      <c r="T7" s="30">
        <f>SUM('Balance Sheet'!T11:T17)/SUM('Balance Sheet'!T35:T42)</f>
        <v>1.6981017005528689</v>
      </c>
      <c r="U7" s="30">
        <f>SUM('Balance Sheet'!U11:U17)/SUM('Balance Sheet'!U35:U42)</f>
        <v>1.7568398038259947</v>
      </c>
      <c r="V7" s="30">
        <f>SUM('Balance Sheet'!V11:V17)/SUM('Balance Sheet'!V35:V42)</f>
        <v>1.7411751821027046</v>
      </c>
    </row>
    <row r="8" spans="1:22" ht="15" customHeight="1" x14ac:dyDescent="0.3">
      <c r="A8" s="4" t="s">
        <v>120</v>
      </c>
      <c r="B8" s="29">
        <f>SUM('Balance Sheet'!B12:B17)/SUM('Balance Sheet'!B35:B42)</f>
        <v>0.84863269182710466</v>
      </c>
      <c r="C8" s="29">
        <f>SUM('Balance Sheet'!C12:C17)/SUM('Balance Sheet'!C35:C42)</f>
        <v>0.81230465435641841</v>
      </c>
      <c r="D8" s="29">
        <f>SUM('Balance Sheet'!D12:D17)/SUM('Balance Sheet'!D35:D42)</f>
        <v>0.90740503196617905</v>
      </c>
      <c r="E8" s="29">
        <f>SUM('Balance Sheet'!E12:E17)/SUM('Balance Sheet'!E35:E42)</f>
        <v>0.96000286780139887</v>
      </c>
      <c r="F8" s="29">
        <f>SUM('Balance Sheet'!F12:F17)/SUM('Balance Sheet'!F35:F42)</f>
        <v>1.1214908493539153</v>
      </c>
      <c r="G8" s="30">
        <f>SUM('Balance Sheet'!G12:G17)/SUM('Balance Sheet'!G35:G42)</f>
        <v>0.94827744449193196</v>
      </c>
      <c r="H8" s="30">
        <f>SUM('Balance Sheet'!H12:H17)/SUM('Balance Sheet'!H35:H42)</f>
        <v>0.90062837731635803</v>
      </c>
      <c r="I8" s="30">
        <f>SUM('Balance Sheet'!I12:I17)/SUM('Balance Sheet'!I35:I42)</f>
        <v>0.95047615126574814</v>
      </c>
      <c r="J8" s="30">
        <f>SUM('Balance Sheet'!J12:J17)/SUM('Balance Sheet'!J35:J42)</f>
        <v>0.79297734301284473</v>
      </c>
      <c r="K8" s="30">
        <f>SUM('Balance Sheet'!K12:K17)/SUM('Balance Sheet'!K35:K42)</f>
        <v>0.69719452372536839</v>
      </c>
      <c r="L8" s="30">
        <f>SUM('Balance Sheet'!L12:L17)/SUM('Balance Sheet'!L35:L42)</f>
        <v>0.78176379013138342</v>
      </c>
      <c r="M8" s="30">
        <f>SUM('Balance Sheet'!M12:M17)/SUM('Balance Sheet'!M35:M42)</f>
        <v>0.76789011822260456</v>
      </c>
      <c r="N8" s="30">
        <f>SUM('Balance Sheet'!N12:N17)/SUM('Balance Sheet'!N35:N42)</f>
        <v>0.77026338330256272</v>
      </c>
      <c r="O8" s="30">
        <f>SUM('Balance Sheet'!O12:O17)/SUM('Balance Sheet'!O35:O42)</f>
        <v>0.66376718079463715</v>
      </c>
      <c r="P8" s="30">
        <f>SUM('Balance Sheet'!P12:P17)/SUM('Balance Sheet'!P35:P42)</f>
        <v>0.68286552555453339</v>
      </c>
      <c r="Q8" s="30">
        <f>SUM('Balance Sheet'!Q12:Q17)/SUM('Balance Sheet'!Q35:Q42)</f>
        <v>0.66101236488684867</v>
      </c>
      <c r="R8" s="30">
        <f>SUM('Balance Sheet'!R12:R17)/SUM('Balance Sheet'!R35:R42)</f>
        <v>1.1324973489866335</v>
      </c>
      <c r="S8" s="30">
        <f>SUM('Balance Sheet'!S12:S17)/SUM('Balance Sheet'!S35:S42)</f>
        <v>1.0431353423579075</v>
      </c>
      <c r="T8" s="30">
        <f>SUM('Balance Sheet'!T12:T17)/SUM('Balance Sheet'!T35:T42)</f>
        <v>1.1852104281387332</v>
      </c>
      <c r="U8" s="30">
        <f>SUM('Balance Sheet'!U12:U17)/SUM('Balance Sheet'!U35:U42)</f>
        <v>1.2689612713532332</v>
      </c>
      <c r="V8" s="30">
        <f>SUM('Balance Sheet'!V12:V17)/SUM('Balance Sheet'!V35:V42)</f>
        <v>1.2967351771809761</v>
      </c>
    </row>
    <row r="9" spans="1:22" ht="15" customHeight="1" x14ac:dyDescent="0.3">
      <c r="A9" s="4" t="s">
        <v>121</v>
      </c>
      <c r="B9" s="29">
        <f>'Balance Sheet'!B17/SUM('Balance Sheet'!B35:B42)</f>
        <v>0.20965697664247993</v>
      </c>
      <c r="C9" s="29">
        <f>'Balance Sheet'!C17/SUM('Balance Sheet'!C35:C42)</f>
        <v>9.3492296595003799E-2</v>
      </c>
      <c r="D9" s="29">
        <f>'Balance Sheet'!D17/SUM('Balance Sheet'!D35:D42)</f>
        <v>9.4647852436018448E-2</v>
      </c>
      <c r="E9" s="29">
        <f>'Balance Sheet'!E17/SUM('Balance Sheet'!E35:E42)</f>
        <v>0.12770605971646776</v>
      </c>
      <c r="F9" s="29">
        <f>'Balance Sheet'!F17/SUM('Balance Sheet'!F35:F42)</f>
        <v>0.17690336921037866</v>
      </c>
      <c r="G9" s="30">
        <f>'Balance Sheet'!G17/SUM('Balance Sheet'!G35:G42)</f>
        <v>0.24777793155392522</v>
      </c>
      <c r="H9" s="30">
        <f>'Balance Sheet'!H17/SUM('Balance Sheet'!H35:H42)</f>
        <v>0.2896060873402011</v>
      </c>
      <c r="I9" s="30">
        <f>'Balance Sheet'!I17/SUM('Balance Sheet'!I35:I42)</f>
        <v>0.24293906411066091</v>
      </c>
      <c r="J9" s="30">
        <f>'Balance Sheet'!J17/SUM('Balance Sheet'!J35:J42)</f>
        <v>0.13896286908881539</v>
      </c>
      <c r="K9" s="30">
        <f>'Balance Sheet'!K17/SUM('Balance Sheet'!K35:K42)</f>
        <v>0.17009457067687195</v>
      </c>
      <c r="L9" s="30">
        <f>'Balance Sheet'!L17/SUM('Balance Sheet'!L35:L42)</f>
        <v>0.20250563624394555</v>
      </c>
      <c r="M9" s="30">
        <f>'Balance Sheet'!M17/SUM('Balance Sheet'!M35:M42)</f>
        <v>0.36299034652302159</v>
      </c>
      <c r="N9" s="30">
        <f>'Balance Sheet'!N17/SUM('Balance Sheet'!N35:N42)</f>
        <v>0.23580977302137693</v>
      </c>
      <c r="O9" s="30">
        <f>'Balance Sheet'!O17/SUM('Balance Sheet'!O35:O42)</f>
        <v>0.3131734753809241</v>
      </c>
      <c r="P9" s="30">
        <f>'Balance Sheet'!P17/SUM('Balance Sheet'!P35:P42)</f>
        <v>0.19880546670878987</v>
      </c>
      <c r="Q9" s="30">
        <f>'Balance Sheet'!Q17/SUM('Balance Sheet'!Q35:Q42)</f>
        <v>0.15779417306156679</v>
      </c>
      <c r="R9" s="30">
        <f>'Balance Sheet'!R17/SUM('Balance Sheet'!R35:R42)</f>
        <v>0.4382905461891955</v>
      </c>
      <c r="S9" s="30">
        <f>'Balance Sheet'!S17/SUM('Balance Sheet'!S35:S42)</f>
        <v>0.33862150030271049</v>
      </c>
      <c r="T9" s="30">
        <f>'Balance Sheet'!T17/SUM('Balance Sheet'!T35:T42)</f>
        <v>0.43193547306987073</v>
      </c>
      <c r="U9" s="30">
        <f>'Balance Sheet'!U17/SUM('Balance Sheet'!U35:U42)</f>
        <v>0.15105260934864953</v>
      </c>
      <c r="V9" s="30">
        <f>'Balance Sheet'!V17/SUM('Balance Sheet'!V35:V42)</f>
        <v>0.24111596569434485</v>
      </c>
    </row>
    <row r="10" spans="1:22" s="17" customFormat="1" ht="15" customHeight="1" x14ac:dyDescent="0.3">
      <c r="A10" s="4" t="s">
        <v>122</v>
      </c>
      <c r="B10" s="31">
        <f>SUM('Balance Sheet'!B11:B17)-SUM('Balance Sheet'!B35:B42)</f>
        <v>147868292</v>
      </c>
      <c r="C10" s="31">
        <f>SUM('Balance Sheet'!C11:C17)-SUM('Balance Sheet'!C35:C42)</f>
        <v>156786279</v>
      </c>
      <c r="D10" s="31">
        <f>SUM('Balance Sheet'!D11:D17)-SUM('Balance Sheet'!D35:D42)</f>
        <v>314342954</v>
      </c>
      <c r="E10" s="31">
        <f>SUM('Balance Sheet'!E11:E17)-SUM('Balance Sheet'!E35:E42)</f>
        <v>475300430</v>
      </c>
      <c r="F10" s="31">
        <f>SUM('Balance Sheet'!F11:F17)-SUM('Balance Sheet'!F35:F42)</f>
        <v>655261687</v>
      </c>
      <c r="G10" s="31">
        <f>SUM('Balance Sheet'!G11:G17)-SUM('Balance Sheet'!G35:G42)</f>
        <v>571986730</v>
      </c>
      <c r="H10" s="31">
        <f>SUM('Balance Sheet'!H11:H17)-SUM('Balance Sheet'!H35:H42)</f>
        <v>645991583</v>
      </c>
      <c r="I10" s="31">
        <f>SUM('Balance Sheet'!I11:I17)-SUM('Balance Sheet'!I35:I42)</f>
        <v>880716811</v>
      </c>
      <c r="J10" s="31">
        <f>SUM('Balance Sheet'!J11:J17)-SUM('Balance Sheet'!J35:J42)</f>
        <v>770195268</v>
      </c>
      <c r="K10" s="31">
        <f>SUM('Balance Sheet'!K11:K17)-SUM('Balance Sheet'!K35:K42)</f>
        <v>537136731</v>
      </c>
      <c r="L10" s="31">
        <f>SUM('Balance Sheet'!L11:L17)-SUM('Balance Sheet'!L35:L42)</f>
        <v>1042995060</v>
      </c>
      <c r="M10" s="31">
        <f>SUM('Balance Sheet'!M11:M17)-SUM('Balance Sheet'!M35:M42)</f>
        <v>1221214077</v>
      </c>
      <c r="N10" s="31">
        <f>SUM('Balance Sheet'!N11:N17)-SUM('Balance Sheet'!N35:N42)</f>
        <v>1172358791</v>
      </c>
      <c r="O10" s="31">
        <f>SUM('Balance Sheet'!O11:O17)-SUM('Balance Sheet'!O35:O42)</f>
        <v>1452084850</v>
      </c>
      <c r="P10" s="31">
        <f>SUM('Balance Sheet'!P11:P17)-SUM('Balance Sheet'!P35:P42)</f>
        <v>1826828619</v>
      </c>
      <c r="Q10" s="31">
        <f>SUM('Balance Sheet'!Q11:Q17)-SUM('Balance Sheet'!Q35:Q42)</f>
        <v>1920590840</v>
      </c>
      <c r="R10" s="31">
        <f>SUM('Balance Sheet'!R11:R17)-SUM('Balance Sheet'!R35:R42)</f>
        <v>2649472768</v>
      </c>
      <c r="S10" s="31">
        <f>SUM('Balance Sheet'!S11:S17)-SUM('Balance Sheet'!S35:S42)</f>
        <v>2197145847</v>
      </c>
      <c r="T10" s="31">
        <f>SUM('Balance Sheet'!T11:T17)-SUM('Balance Sheet'!T35:T42)</f>
        <v>3254829206</v>
      </c>
      <c r="U10" s="31">
        <f>SUM('Balance Sheet'!U11:U17)-SUM('Balance Sheet'!U35:U42)</f>
        <v>3591307897</v>
      </c>
      <c r="V10" s="31">
        <f>SUM('Balance Sheet'!V11:V17)-SUM('Balance Sheet'!V35:V42)</f>
        <v>4249249075</v>
      </c>
    </row>
    <row r="11" spans="1:22" ht="15" customHeight="1" x14ac:dyDescent="0.3">
      <c r="A11" s="26" t="s">
        <v>123</v>
      </c>
      <c r="B11" s="32"/>
      <c r="C11" s="32"/>
      <c r="D11" s="32"/>
      <c r="E11" s="32"/>
      <c r="F11" s="32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16.2" customHeight="1" x14ac:dyDescent="0.3">
      <c r="A12" s="4" t="s">
        <v>41</v>
      </c>
      <c r="B12" s="33">
        <f>'Income Statement'!B7/'Income Statement'!B5</f>
        <v>0.34115081128603825</v>
      </c>
      <c r="C12" s="33">
        <f>'Income Statement'!C7/'Income Statement'!C5</f>
        <v>0.29420719273454815</v>
      </c>
      <c r="D12" s="33">
        <f>'Income Statement'!D7/'Income Statement'!D5</f>
        <v>0.29446134012894576</v>
      </c>
      <c r="E12" s="33">
        <f>'Income Statement'!E7/'Income Statement'!E5</f>
        <v>0.31866190133255939</v>
      </c>
      <c r="F12" s="33">
        <f>'Income Statement'!F7/'Income Statement'!F5</f>
        <v>0.35704252331005659</v>
      </c>
      <c r="G12" s="34">
        <f>'Income Statement'!G7/'Income Statement'!G5</f>
        <v>0.32973763289739105</v>
      </c>
      <c r="H12" s="34">
        <f>'Income Statement'!H7/'Income Statement'!H5</f>
        <v>0.3381120729378807</v>
      </c>
      <c r="I12" s="34">
        <f>'Income Statement'!I7/'Income Statement'!I5</f>
        <v>0.33994570356105169</v>
      </c>
      <c r="J12" s="34">
        <f>'Income Statement'!J7/'Income Statement'!J5</f>
        <v>0.31645358379505589</v>
      </c>
      <c r="K12" s="34">
        <f>'Income Statement'!K7/'Income Statement'!K5</f>
        <v>0.31962438112718539</v>
      </c>
      <c r="L12" s="34">
        <f>'Income Statement'!L7/'Income Statement'!L5</f>
        <v>0.33184125089476585</v>
      </c>
      <c r="M12" s="34">
        <f>'Income Statement'!M7/'Income Statement'!M5</f>
        <v>0.3237084187064711</v>
      </c>
      <c r="N12" s="34">
        <f>'Income Statement'!N7/'Income Statement'!N5</f>
        <v>0.30594552064681013</v>
      </c>
      <c r="O12" s="34">
        <f>'Income Statement'!O7/'Income Statement'!O5</f>
        <v>0.28835251327144873</v>
      </c>
      <c r="P12" s="34">
        <f>'Income Statement'!P7/'Income Statement'!P5</f>
        <v>0.31201849184916858</v>
      </c>
      <c r="Q12" s="34">
        <f>'Income Statement'!Q7/'Income Statement'!Q5</f>
        <v>0.30386144983963109</v>
      </c>
      <c r="R12" s="34">
        <f>'Income Statement'!R7/'Income Statement'!R5</f>
        <v>0.31594310252033819</v>
      </c>
      <c r="S12" s="34">
        <f>'Income Statement'!S7/'Income Statement'!S5</f>
        <v>0.33539784767613096</v>
      </c>
      <c r="T12" s="34">
        <f>'Income Statement'!T7/'Income Statement'!T5</f>
        <v>0.35247405923678821</v>
      </c>
      <c r="U12" s="34">
        <f>'Income Statement'!U7/'Income Statement'!U5</f>
        <v>0.34386958230162157</v>
      </c>
      <c r="V12" s="34">
        <f>'Income Statement'!V7/'Income Statement'!V5</f>
        <v>0.35196210835136299</v>
      </c>
    </row>
    <row r="13" spans="1:22" ht="15" customHeight="1" x14ac:dyDescent="0.3">
      <c r="A13" s="4" t="s">
        <v>124</v>
      </c>
      <c r="B13" s="33">
        <f>'Income Statement'!B16/'Income Statement'!B5</f>
        <v>9.8349911879296092E-2</v>
      </c>
      <c r="C13" s="33">
        <f>'Income Statement'!C16/'Income Statement'!C5</f>
        <v>9.5625349483035568E-2</v>
      </c>
      <c r="D13" s="33">
        <f>'Income Statement'!D16/'Income Statement'!D5</f>
        <v>0.10774831568700681</v>
      </c>
      <c r="E13" s="33">
        <f>'Income Statement'!E16/'Income Statement'!E5</f>
        <v>0.12078930234199159</v>
      </c>
      <c r="F13" s="33">
        <f>'Income Statement'!F16/'Income Statement'!F5</f>
        <v>0.13281759090406303</v>
      </c>
      <c r="G13" s="34">
        <f>'Income Statement'!G16/'Income Statement'!G5</f>
        <v>0.15969205597657055</v>
      </c>
      <c r="H13" s="34">
        <f>'Income Statement'!H16/'Income Statement'!H5</f>
        <v>0.1860154102916885</v>
      </c>
      <c r="I13" s="34">
        <f>'Income Statement'!I16/'Income Statement'!I5</f>
        <v>0.16565861663159939</v>
      </c>
      <c r="J13" s="34">
        <f>'Income Statement'!J16/'Income Statement'!J5</f>
        <v>0.18083803729263628</v>
      </c>
      <c r="K13" s="34">
        <f>'Income Statement'!K16/'Income Statement'!K5</f>
        <v>0.17680752750233181</v>
      </c>
      <c r="L13" s="34">
        <f>'Income Statement'!L16/'Income Statement'!L5</f>
        <v>0.18386293172530427</v>
      </c>
      <c r="M13" s="34">
        <f>'Income Statement'!M16/'Income Statement'!M5</f>
        <v>0.16910956568939939</v>
      </c>
      <c r="N13" s="34">
        <f>'Income Statement'!N16/'Income Statement'!N5</f>
        <v>0.15034390506646558</v>
      </c>
      <c r="O13" s="34">
        <f>'Income Statement'!O16/'Income Statement'!O5</f>
        <v>0.11074595910027649</v>
      </c>
      <c r="P13" s="34">
        <f>'Income Statement'!P16/'Income Statement'!P5</f>
        <v>0.12129589750461468</v>
      </c>
      <c r="Q13" s="34">
        <f>'Income Statement'!Q16/'Income Statement'!Q5</f>
        <v>0.12211305636239664</v>
      </c>
      <c r="R13" s="34">
        <f>'Income Statement'!R16/'Income Statement'!R5</f>
        <v>0.12224484858813822</v>
      </c>
      <c r="S13" s="34">
        <f>'Income Statement'!S16/'Income Statement'!S5</f>
        <v>0.16117710813234312</v>
      </c>
      <c r="T13" s="34">
        <f>'Income Statement'!T16/'Income Statement'!T5</f>
        <v>0.17627060757948457</v>
      </c>
      <c r="U13" s="34">
        <f>'Income Statement'!U16/'Income Statement'!U5</f>
        <v>0.1770893977079008</v>
      </c>
      <c r="V13" s="34">
        <f>'Income Statement'!V16/'Income Statement'!V5</f>
        <v>0.19805987904527808</v>
      </c>
    </row>
    <row r="14" spans="1:22" ht="15" customHeight="1" x14ac:dyDescent="0.3">
      <c r="A14" s="4" t="s">
        <v>43</v>
      </c>
      <c r="B14" s="33">
        <f>'Income Statement'!B18/'Income Statement'!B5</f>
        <v>6.9190327388111289E-2</v>
      </c>
      <c r="C14" s="33">
        <f>'Income Statement'!C18/'Income Statement'!C5</f>
        <v>7.2150292863062473E-2</v>
      </c>
      <c r="D14" s="33">
        <f>'Income Statement'!D18/'Income Statement'!D5</f>
        <v>8.0618687555870969E-2</v>
      </c>
      <c r="E14" s="33">
        <f>'Income Statement'!E18/'Income Statement'!E5</f>
        <v>8.9865586144007456E-2</v>
      </c>
      <c r="F14" s="33">
        <f>'Income Statement'!F18/'Income Statement'!F5</f>
        <v>9.500269874152753E-2</v>
      </c>
      <c r="G14" s="34">
        <f>'Income Statement'!G18/'Income Statement'!G5</f>
        <v>0.12459533689661964</v>
      </c>
      <c r="H14" s="34">
        <f>'Income Statement'!H18/'Income Statement'!H5</f>
        <v>0.14192595979385222</v>
      </c>
      <c r="I14" s="34">
        <f>'Income Statement'!I18/'Income Statement'!I5</f>
        <v>0.12507097578095996</v>
      </c>
      <c r="J14" s="34">
        <f>'Income Statement'!J18/'Income Statement'!J5</f>
        <v>0.13504793678164423</v>
      </c>
      <c r="K14" s="34">
        <f>'Income Statement'!K18/'Income Statement'!K5</f>
        <v>0.13370486628314418</v>
      </c>
      <c r="L14" s="34">
        <f>'Income Statement'!L18/'Income Statement'!L5</f>
        <v>0.1363466934549995</v>
      </c>
      <c r="M14" s="34">
        <f>'Income Statement'!M18/'Income Statement'!M5</f>
        <v>0.1242434278422469</v>
      </c>
      <c r="N14" s="34">
        <f>'Income Statement'!N18/'Income Statement'!N5</f>
        <v>0.11111021667138291</v>
      </c>
      <c r="O14" s="34">
        <f>'Income Statement'!O18/'Income Statement'!O5</f>
        <v>7.7123876283002143E-2</v>
      </c>
      <c r="P14" s="34">
        <f>'Income Statement'!P18/'Income Statement'!P5</f>
        <v>9.1323263249422817E-2</v>
      </c>
      <c r="Q14" s="34">
        <f>'Income Statement'!Q18/'Income Statement'!Q5</f>
        <v>8.7658022922367726E-2</v>
      </c>
      <c r="R14" s="34">
        <f>'Income Statement'!R18/'Income Statement'!R5</f>
        <v>8.8954965321019708E-2</v>
      </c>
      <c r="S14" s="34">
        <f>'Income Statement'!S18/'Income Statement'!S5</f>
        <v>0.11843962845567325</v>
      </c>
      <c r="T14" s="34">
        <f>'Income Statement'!T18/'Income Statement'!T5</f>
        <v>0.1289059206881607</v>
      </c>
      <c r="U14" s="34">
        <f>'Income Statement'!U18/'Income Statement'!U5</f>
        <v>0.12886886616162019</v>
      </c>
      <c r="V14" s="34">
        <f>'Income Statement'!V18/'Income Statement'!V5</f>
        <v>0.14765685449644006</v>
      </c>
    </row>
    <row r="15" spans="1:22" ht="15" customHeight="1" x14ac:dyDescent="0.3">
      <c r="A15" s="4" t="s">
        <v>125</v>
      </c>
      <c r="B15" s="33">
        <f>'Income Statement'!B18*B$5/'Balance Sheet'!B18</f>
        <v>8.4345686054518393E-2</v>
      </c>
      <c r="C15" s="33">
        <f>'Income Statement'!C18*C$5/'Balance Sheet'!C18</f>
        <v>8.7476084273628726E-2</v>
      </c>
      <c r="D15" s="33">
        <f>'Income Statement'!D18*D$5/'Balance Sheet'!D18</f>
        <v>0.10975796654859717</v>
      </c>
      <c r="E15" s="33">
        <f>'Income Statement'!E18*E$5/'Balance Sheet'!E18</f>
        <v>0.11187400781237423</v>
      </c>
      <c r="F15" s="33">
        <f>'Income Statement'!F18*F$5/'Balance Sheet'!F18</f>
        <v>0.136743390077773</v>
      </c>
      <c r="G15" s="34">
        <f>'Income Statement'!G18*G$5/'Balance Sheet'!G18</f>
        <v>0.16628971153656275</v>
      </c>
      <c r="H15" s="34">
        <f>'Income Statement'!H18*H$5/'Balance Sheet'!H18</f>
        <v>0.21839441677174612</v>
      </c>
      <c r="I15" s="34">
        <f>'Income Statement'!I18*I$5/'Balance Sheet'!I18</f>
        <v>0.16587958977074108</v>
      </c>
      <c r="J15" s="34">
        <f>'Income Statement'!J18*J$5/'Balance Sheet'!J18</f>
        <v>0.23548046130471165</v>
      </c>
      <c r="K15" s="34">
        <f>'Income Statement'!K18*K$5/'Balance Sheet'!K18</f>
        <v>0.22577585633248751</v>
      </c>
      <c r="L15" s="34">
        <f>'Income Statement'!L18*L$5/'Balance Sheet'!L18</f>
        <v>0.23898087761516923</v>
      </c>
      <c r="M15" s="34">
        <f>'Income Statement'!M18*M$5/'Balance Sheet'!M18</f>
        <v>0.19420538585062538</v>
      </c>
      <c r="N15" s="34">
        <f>'Income Statement'!N18*N$5/'Balance Sheet'!N18</f>
        <v>0.19098609367246694</v>
      </c>
      <c r="O15" s="34">
        <f>'Income Statement'!O18*O$5/'Balance Sheet'!O18</f>
        <v>0.13985546706104771</v>
      </c>
      <c r="P15" s="34">
        <f>'Income Statement'!P18*P$5/'Balance Sheet'!P18</f>
        <v>0.13929782980092903</v>
      </c>
      <c r="Q15" s="34">
        <f>'Income Statement'!Q18*Q$5/'Balance Sheet'!Q18</f>
        <v>0.13728606145780717</v>
      </c>
      <c r="R15" s="34">
        <f>'Income Statement'!R18*R$5/'Balance Sheet'!R18</f>
        <v>0.13906207850156946</v>
      </c>
      <c r="S15" s="34">
        <f>'Income Statement'!S18*S$5/'Balance Sheet'!S18</f>
        <v>0.20349532881973603</v>
      </c>
      <c r="T15" s="34">
        <f>'Income Statement'!T18*T$5/'Balance Sheet'!T18</f>
        <v>0.20515782067128391</v>
      </c>
      <c r="U15" s="34">
        <f>'Income Statement'!U18*U$5/'Balance Sheet'!U18</f>
        <v>0.18287090062955833</v>
      </c>
      <c r="V15" s="34">
        <f>'Income Statement'!V18*V$5/'Balance Sheet'!V18</f>
        <v>0.20281482135733145</v>
      </c>
    </row>
    <row r="16" spans="1:22" s="17" customFormat="1" ht="15" customHeight="1" x14ac:dyDescent="0.3">
      <c r="A16" s="4" t="s">
        <v>126</v>
      </c>
      <c r="B16" s="34">
        <f>'Income Statement'!B18*B$5/'Balance Sheet'!B28</f>
        <v>0.18915683242039169</v>
      </c>
      <c r="C16" s="34">
        <f>'Income Statement'!C18*C$5/'Balance Sheet'!C28</f>
        <v>0.18881120999282208</v>
      </c>
      <c r="D16" s="34">
        <f>'Income Statement'!D18*D$5/'Balance Sheet'!D28</f>
        <v>0.23984885924645377</v>
      </c>
      <c r="E16" s="34">
        <f>'Income Statement'!E18*E$5/'Balance Sheet'!E28</f>
        <v>0.22907534583894787</v>
      </c>
      <c r="F16" s="34">
        <f>'Income Statement'!F18*F$5/'Balance Sheet'!F28</f>
        <v>0.26980448742334034</v>
      </c>
      <c r="G16" s="34">
        <f>'Income Statement'!G18*G$5/'Balance Sheet'!G28</f>
        <v>0.35555667601916741</v>
      </c>
      <c r="H16" s="34">
        <f>'Income Statement'!H18*H$5/'Balance Sheet'!H28</f>
        <v>0.46982102485165728</v>
      </c>
      <c r="I16" s="34">
        <f>'Income Statement'!I18*I$5/'Balance Sheet'!I28</f>
        <v>0.36039304694962121</v>
      </c>
      <c r="J16" s="48">
        <f>'Income Statement'!J18*J$5/'Balance Sheet'!J28</f>
        <v>0.57270513356330122</v>
      </c>
      <c r="K16" s="34">
        <f>'Income Statement'!K18*K$5/'Balance Sheet'!K28</f>
        <v>0.52698602525976279</v>
      </c>
      <c r="L16" s="34">
        <f>'Income Statement'!L18*L$5/'Balance Sheet'!L28</f>
        <v>0.51217650349545529</v>
      </c>
      <c r="M16" s="34">
        <f>'Income Statement'!M18*M$5/'Balance Sheet'!M28</f>
        <v>0.44273272781497963</v>
      </c>
      <c r="N16" s="34">
        <f>'Income Statement'!N18*N$5/'Balance Sheet'!N28</f>
        <v>0.50462735737330189</v>
      </c>
      <c r="O16" s="34">
        <f>'Income Statement'!O18*O$5/'Balance Sheet'!O28</f>
        <v>0.33202290988553212</v>
      </c>
      <c r="P16" s="34">
        <f>'Income Statement'!P18*P$5/'Balance Sheet'!P28</f>
        <v>0.34515782289824776</v>
      </c>
      <c r="Q16" s="34">
        <f>'Income Statement'!Q18*Q$5/'Balance Sheet'!Q28</f>
        <v>0.35233018774696906</v>
      </c>
      <c r="R16" s="34">
        <f>'Income Statement'!R18*R$5/'Balance Sheet'!R28</f>
        <v>0.34295957975495511</v>
      </c>
      <c r="S16" s="34">
        <f>'Income Statement'!S18*S$5/'Balance Sheet'!S28</f>
        <v>0.54739965485222497</v>
      </c>
      <c r="T16" s="34">
        <f>'Income Statement'!T18*T$5/'Balance Sheet'!T28</f>
        <v>0.54679381861763832</v>
      </c>
      <c r="U16" s="34">
        <f>'Income Statement'!U18*U$5/'Balance Sheet'!U28</f>
        <v>0.44240979206119235</v>
      </c>
      <c r="V16" s="34">
        <f>'Income Statement'!V18*V$5/'Balance Sheet'!V28</f>
        <v>0.49255684996131299</v>
      </c>
    </row>
    <row r="17" spans="1:25" ht="15" customHeight="1" x14ac:dyDescent="0.3">
      <c r="A17" s="26" t="s">
        <v>127</v>
      </c>
      <c r="B17" s="35"/>
      <c r="C17" s="35"/>
      <c r="D17" s="35"/>
      <c r="E17" s="35"/>
      <c r="F17" s="35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1:25" ht="15" customHeight="1" x14ac:dyDescent="0.3">
      <c r="A18" s="4" t="s">
        <v>128</v>
      </c>
      <c r="B18" s="36">
        <f>'Balance Sheet'!B30+'Balance Sheet'!B34+'Balance Sheet'!B36+'Balance Sheet'!B39+'Balance Sheet'!B42</f>
        <v>1019672368</v>
      </c>
      <c r="C18" s="36">
        <f>'Balance Sheet'!C30+'Balance Sheet'!C34+'Balance Sheet'!C36+'Balance Sheet'!C39+'Balance Sheet'!C42</f>
        <v>1161246852</v>
      </c>
      <c r="D18" s="36">
        <f>'Balance Sheet'!D30+'Balance Sheet'!D34+'Balance Sheet'!D36+'Balance Sheet'!D39+'Balance Sheet'!D42</f>
        <v>1296879251</v>
      </c>
      <c r="E18" s="36">
        <f>'Balance Sheet'!E30+'Balance Sheet'!E34+'Balance Sheet'!E36+'Balance Sheet'!E39+'Balance Sheet'!E42</f>
        <v>1248792709</v>
      </c>
      <c r="F18" s="36">
        <f>'Balance Sheet'!F30+'Balance Sheet'!F34+'Balance Sheet'!F36+'Balance Sheet'!F39+'Balance Sheet'!F42</f>
        <v>1108116270</v>
      </c>
      <c r="G18" s="31">
        <f>'Balance Sheet'!G30+'Balance Sheet'!G34+'Balance Sheet'!G36+'Balance Sheet'!G39+'Balance Sheet'!G42</f>
        <v>1453772938</v>
      </c>
      <c r="H18" s="31">
        <f>'Balance Sheet'!H30+'Balance Sheet'!H34+'Balance Sheet'!H36+'Balance Sheet'!H39+'Balance Sheet'!H42</f>
        <v>1436121211</v>
      </c>
      <c r="I18" s="31">
        <f>'Balance Sheet'!I30+'Balance Sheet'!I34+'Balance Sheet'!I36+'Balance Sheet'!I39+'Balance Sheet'!I42</f>
        <v>1600178016</v>
      </c>
      <c r="J18" s="31">
        <f>'Balance Sheet'!J30+'Balance Sheet'!J34+'Balance Sheet'!J36+'Balance Sheet'!J39+'Balance Sheet'!J42</f>
        <v>1568716864</v>
      </c>
      <c r="K18" s="31">
        <f>'Balance Sheet'!K30+'Balance Sheet'!K34+'Balance Sheet'!K36+'Balance Sheet'!K39+'Balance Sheet'!K42</f>
        <v>2137926642</v>
      </c>
      <c r="L18" s="31">
        <f>'Balance Sheet'!L30+'Balance Sheet'!L34+'Balance Sheet'!L36+'Balance Sheet'!L39+'Balance Sheet'!L42</f>
        <v>1982860716</v>
      </c>
      <c r="M18" s="31">
        <f>'Balance Sheet'!M30+'Balance Sheet'!M34+'Balance Sheet'!M36+'Balance Sheet'!M39+'Balance Sheet'!M42</f>
        <v>2165200836</v>
      </c>
      <c r="N18" s="31">
        <f>'Balance Sheet'!N30+'Balance Sheet'!N34+'Balance Sheet'!N36+'Balance Sheet'!N39+'Balance Sheet'!N42</f>
        <v>2870947778</v>
      </c>
      <c r="O18" s="31">
        <f>'Balance Sheet'!O30+'Balance Sheet'!O34+'Balance Sheet'!O36+'Balance Sheet'!O39+'Balance Sheet'!O42</f>
        <v>2769118556</v>
      </c>
      <c r="P18" s="31">
        <f>'Balance Sheet'!P30+'Balance Sheet'!P34+'Balance Sheet'!P36+'Balance Sheet'!P39+'Balance Sheet'!P42</f>
        <v>3350369261</v>
      </c>
      <c r="Q18" s="31">
        <f>'Balance Sheet'!Q30+'Balance Sheet'!Q34+'Balance Sheet'!Q36+'Balance Sheet'!Q39+'Balance Sheet'!Q42</f>
        <v>3700111099</v>
      </c>
      <c r="R18" s="31">
        <f>'Balance Sheet'!R30+'Balance Sheet'!R34+'Balance Sheet'!R36+'Balance Sheet'!R39+'Balance Sheet'!R42</f>
        <v>3908358795</v>
      </c>
      <c r="S18" s="31">
        <f>'Balance Sheet'!S30+'Balance Sheet'!S34+'Balance Sheet'!S36+'Balance Sheet'!S39+'Balance Sheet'!S42</f>
        <v>4087690356</v>
      </c>
      <c r="T18" s="31">
        <f>'Balance Sheet'!T30+'Balance Sheet'!T34+'Balance Sheet'!T36+'Balance Sheet'!T39+'Balance Sheet'!T42</f>
        <v>5340466502</v>
      </c>
      <c r="U18" s="31">
        <f>'Balance Sheet'!U30+'Balance Sheet'!U34+'Balance Sheet'!U36+'Balance Sheet'!U39+'Balance Sheet'!U42</f>
        <v>5001054285</v>
      </c>
      <c r="V18" s="31">
        <f>'Balance Sheet'!V30+'Balance Sheet'!V34+'Balance Sheet'!V36+'Balance Sheet'!V39+'Balance Sheet'!V42</f>
        <v>5572445129</v>
      </c>
    </row>
    <row r="19" spans="1:25" ht="15" customHeight="1" x14ac:dyDescent="0.3">
      <c r="A19" s="4" t="s">
        <v>129</v>
      </c>
      <c r="B19" s="36">
        <f>B18-'Balance Sheet'!B17</f>
        <v>785355938</v>
      </c>
      <c r="C19" s="36">
        <f>C18-'Balance Sheet'!C17</f>
        <v>1062256774</v>
      </c>
      <c r="D19" s="36">
        <f>D18-'Balance Sheet'!D17</f>
        <v>1182703124</v>
      </c>
      <c r="E19" s="36">
        <f>E18-'Balance Sheet'!E17</f>
        <v>1085337226</v>
      </c>
      <c r="F19" s="36">
        <f>F18-'Balance Sheet'!F17</f>
        <v>891548448</v>
      </c>
      <c r="G19" s="31">
        <f>G18-'Balance Sheet'!G17</f>
        <v>1084864567</v>
      </c>
      <c r="H19" s="31">
        <f>H18-'Balance Sheet'!H17</f>
        <v>911928682</v>
      </c>
      <c r="I19" s="31">
        <f>I18-'Balance Sheet'!I17</f>
        <v>1105790605</v>
      </c>
      <c r="J19" s="31">
        <f>J18-'Balance Sheet'!J17</f>
        <v>1203539441</v>
      </c>
      <c r="K19" s="31">
        <f>K18-'Balance Sheet'!K17</f>
        <v>1660809804</v>
      </c>
      <c r="L19" s="31">
        <f>L18-'Balance Sheet'!L17</f>
        <v>1451686110</v>
      </c>
      <c r="M19" s="31">
        <f>M18-'Balance Sheet'!M17</f>
        <v>1155298030</v>
      </c>
      <c r="N19" s="31">
        <f>N18-'Balance Sheet'!N17</f>
        <v>2007911000</v>
      </c>
      <c r="O19" s="31">
        <f>O18-'Balance Sheet'!O17</f>
        <v>1890444191</v>
      </c>
      <c r="P19" s="31">
        <f>P18-'Balance Sheet'!P17</f>
        <v>2655331833</v>
      </c>
      <c r="Q19" s="31">
        <f>Q18-'Balance Sheet'!Q17</f>
        <v>3181822264</v>
      </c>
      <c r="R19" s="31">
        <f>R18-'Balance Sheet'!R17</f>
        <v>2581559894</v>
      </c>
      <c r="S19" s="31">
        <f>S18-'Balance Sheet'!S17</f>
        <v>2710607497</v>
      </c>
      <c r="T19" s="31">
        <f>T18-'Balance Sheet'!T17</f>
        <v>3326610653</v>
      </c>
      <c r="U19" s="31">
        <f>U18-'Balance Sheet'!U17</f>
        <v>4284289091</v>
      </c>
      <c r="V19" s="31">
        <f>V18-'Balance Sheet'!V17</f>
        <v>4190097448</v>
      </c>
    </row>
    <row r="20" spans="1:25" ht="15" customHeight="1" x14ac:dyDescent="0.3">
      <c r="A20" s="4" t="s">
        <v>130</v>
      </c>
      <c r="B20" s="29">
        <f>B18/'Balance Sheet'!B28</f>
        <v>0.59752074651972131</v>
      </c>
      <c r="C20" s="29">
        <f>C18/'Balance Sheet'!C28</f>
        <v>0.66017004671197976</v>
      </c>
      <c r="D20" s="29">
        <f>D18/'Balance Sheet'!D28</f>
        <v>0.6916229366994221</v>
      </c>
      <c r="E20" s="29">
        <f>E18/'Balance Sheet'!E28</f>
        <v>0.60619927433639786</v>
      </c>
      <c r="F20" s="29">
        <f>F18/'Balance Sheet'!F28</f>
        <v>0.50466548511763587</v>
      </c>
      <c r="G20" s="30">
        <f>G18/'Balance Sheet'!G28</f>
        <v>0.65927188678325455</v>
      </c>
      <c r="H20" s="30">
        <f>H18/'Balance Sheet'!H28</f>
        <v>0.58966349441849542</v>
      </c>
      <c r="I20" s="30">
        <f>I18/'Balance Sheet'!I28</f>
        <v>0.60107750019963602</v>
      </c>
      <c r="J20" s="30">
        <f>J18/'Balance Sheet'!J28</f>
        <v>0.5983120798019379</v>
      </c>
      <c r="K20" s="30">
        <f>K18/'Balance Sheet'!K28</f>
        <v>0.73707445281302264</v>
      </c>
      <c r="L20" s="30">
        <f>L18/'Balance Sheet'!L28</f>
        <v>0.59756202430727301</v>
      </c>
      <c r="M20" s="30">
        <f>M18/'Balance Sheet'!M28</f>
        <v>0.63628096381674415</v>
      </c>
      <c r="N20" s="30">
        <f>N18/'Balance Sheet'!N28</f>
        <v>0.82998217564233456</v>
      </c>
      <c r="O20" s="30">
        <f>O18/'Balance Sheet'!O28</f>
        <v>0.73376544335539606</v>
      </c>
      <c r="P20" s="30">
        <f>P18/'Balance Sheet'!P28</f>
        <v>0.80921836499622257</v>
      </c>
      <c r="Q20" s="30">
        <f>Q18/'Balance Sheet'!Q28</f>
        <v>0.92107145301722892</v>
      </c>
      <c r="R20" s="30">
        <f>R18/'Balance Sheet'!R28</f>
        <v>0.87946928765054844</v>
      </c>
      <c r="S20" s="30">
        <f>S18/'Balance Sheet'!S28</f>
        <v>0.95151633592050799</v>
      </c>
      <c r="T20" s="30">
        <f>T18/'Balance Sheet'!T28</f>
        <v>1.0309214693103301</v>
      </c>
      <c r="U20" s="30">
        <f>U18/'Balance Sheet'!U28</f>
        <v>0.8208785721242049</v>
      </c>
      <c r="V20" s="30">
        <f>V18/'Balance Sheet'!V28</f>
        <v>0.8053324355917767</v>
      </c>
    </row>
    <row r="21" spans="1:25" ht="15" customHeight="1" x14ac:dyDescent="0.3">
      <c r="A21" s="4" t="s">
        <v>131</v>
      </c>
      <c r="B21" s="29">
        <f>B19/'Balance Sheet'!B28</f>
        <v>0.46021298711652053</v>
      </c>
      <c r="C21" s="29">
        <f>C19/'Balance Sheet'!C28</f>
        <v>0.60389408410787826</v>
      </c>
      <c r="D21" s="29">
        <f>D19/'Balance Sheet'!D28</f>
        <v>0.63073305185022255</v>
      </c>
      <c r="E21" s="29">
        <f>E19/'Balance Sheet'!E28</f>
        <v>0.52685336330825672</v>
      </c>
      <c r="F21" s="29">
        <f>F19/'Balance Sheet'!F28</f>
        <v>0.40603476566208646</v>
      </c>
      <c r="G21" s="30">
        <f>G19/'Balance Sheet'!G28</f>
        <v>0.49197552884313528</v>
      </c>
      <c r="H21" s="30">
        <f>H19/'Balance Sheet'!H28</f>
        <v>0.37443291636514436</v>
      </c>
      <c r="I21" s="30">
        <f>I19/'Balance Sheet'!I28</f>
        <v>0.41536994381357828</v>
      </c>
      <c r="J21" s="30">
        <f>J19/'Balance Sheet'!J28</f>
        <v>0.45903260339296748</v>
      </c>
      <c r="K21" s="30">
        <f>K19/'Balance Sheet'!K28</f>
        <v>0.57258301265409051</v>
      </c>
      <c r="L21" s="30">
        <f>L19/'Balance Sheet'!L28</f>
        <v>0.43748533800210226</v>
      </c>
      <c r="M21" s="30">
        <f>M19/'Balance Sheet'!M28</f>
        <v>0.33950390735207797</v>
      </c>
      <c r="N21" s="30">
        <f>N19/'Balance Sheet'!N28</f>
        <v>0.58048089660381685</v>
      </c>
      <c r="O21" s="30">
        <f>O19/'Balance Sheet'!O28</f>
        <v>0.50093291128404405</v>
      </c>
      <c r="P21" s="30">
        <f>P19/'Balance Sheet'!P28</f>
        <v>0.64134521213382234</v>
      </c>
      <c r="Q21" s="30">
        <f>Q19/'Balance Sheet'!Q28</f>
        <v>0.79205342151404656</v>
      </c>
      <c r="R21" s="30">
        <f>R19/'Balance Sheet'!R28</f>
        <v>0.58090947123584269</v>
      </c>
      <c r="S21" s="30">
        <f>S19/'Balance Sheet'!S28</f>
        <v>0.63096445401700074</v>
      </c>
      <c r="T21" s="30">
        <f>T19/'Balance Sheet'!T28</f>
        <v>0.64216755988073726</v>
      </c>
      <c r="U21" s="30">
        <f>U19/'Balance Sheet'!U28</f>
        <v>0.70322794178335701</v>
      </c>
      <c r="V21" s="30">
        <f>V19/'Balance Sheet'!V28</f>
        <v>0.60555488749519237</v>
      </c>
    </row>
    <row r="22" spans="1:25" ht="15" customHeight="1" x14ac:dyDescent="0.3">
      <c r="A22" s="4" t="s">
        <v>132</v>
      </c>
      <c r="B22" s="33">
        <f>'Balance Sheet'!B28/'Balance Sheet'!B18</f>
        <v>0.44590345997687403</v>
      </c>
      <c r="C22" s="33">
        <f>'Balance Sheet'!C28/'Balance Sheet'!C18</f>
        <v>0.46329920917806861</v>
      </c>
      <c r="D22" s="33">
        <f>'Balance Sheet'!D28/'Balance Sheet'!D18</f>
        <v>0.45761304387033463</v>
      </c>
      <c r="E22" s="33">
        <f>'Balance Sheet'!E28/'Balance Sheet'!E18</f>
        <v>0.48837210046613921</v>
      </c>
      <c r="F22" s="33">
        <f>'Balance Sheet'!F28/'Balance Sheet'!F18</f>
        <v>0.50682400201600042</v>
      </c>
      <c r="G22" s="34">
        <f>'Balance Sheet'!G28/'Balance Sheet'!G18</f>
        <v>0.46768833986848946</v>
      </c>
      <c r="H22" s="34">
        <f>'Balance Sheet'!H28/'Balance Sheet'!H18</f>
        <v>0.46484598436330649</v>
      </c>
      <c r="I22" s="34">
        <f>'Balance Sheet'!I28/'Balance Sheet'!I18</f>
        <v>0.46027411231917897</v>
      </c>
      <c r="J22" s="34">
        <f>'Balance Sheet'!J28/'Balance Sheet'!J18</f>
        <v>0.41117225515263167</v>
      </c>
      <c r="K22" s="34">
        <f>'Balance Sheet'!K28/'Balance Sheet'!K18</f>
        <v>0.42842854556000359</v>
      </c>
      <c r="L22" s="34">
        <f>'Balance Sheet'!L28/'Balance Sheet'!L18</f>
        <v>0.46659867444951969</v>
      </c>
      <c r="M22" s="34">
        <f>'Balance Sheet'!M28/'Balance Sheet'!M18</f>
        <v>0.43865152415789971</v>
      </c>
      <c r="N22" s="34">
        <f>'Balance Sheet'!N28/'Balance Sheet'!N18</f>
        <v>0.37846955953119987</v>
      </c>
      <c r="O22" s="34">
        <f>'Balance Sheet'!O28/'Balance Sheet'!O18</f>
        <v>0.42122234007666559</v>
      </c>
      <c r="P22" s="34">
        <f>'Balance Sheet'!P28/'Balance Sheet'!P18</f>
        <v>0.4035772060191547</v>
      </c>
      <c r="Q22" s="34">
        <f>'Balance Sheet'!Q28/'Balance Sheet'!Q18</f>
        <v>0.3896517137396161</v>
      </c>
      <c r="R22" s="34">
        <f>'Balance Sheet'!R28/'Balance Sheet'!R18</f>
        <v>0.40547658298662892</v>
      </c>
      <c r="S22" s="34">
        <f>'Balance Sheet'!S28/'Balance Sheet'!S18</f>
        <v>0.37174909961291674</v>
      </c>
      <c r="T22" s="34">
        <f>'Balance Sheet'!T28/'Balance Sheet'!T18</f>
        <v>0.37520142636203901</v>
      </c>
      <c r="U22" s="34">
        <f>'Balance Sheet'!U28/'Balance Sheet'!U18</f>
        <v>0.41335183784599494</v>
      </c>
      <c r="V22" s="34">
        <f>'Balance Sheet'!V28/'Balance Sheet'!V18</f>
        <v>0.41175921393289155</v>
      </c>
    </row>
    <row r="23" spans="1:25" s="17" customFormat="1" ht="15" customHeight="1" x14ac:dyDescent="0.3">
      <c r="A23" s="4" t="s">
        <v>133</v>
      </c>
      <c r="B23" s="30">
        <f>('Income Statement'!B16-'Income Statement'!B13)/(-'Income Statement'!B13)</f>
        <v>6.6769125638100295</v>
      </c>
      <c r="C23" s="30">
        <f>('Income Statement'!C16-'Income Statement'!C13)/(-'Income Statement'!C13)</f>
        <v>5.9490353015566626</v>
      </c>
      <c r="D23" s="30">
        <f>('Income Statement'!D16-'Income Statement'!D13)/(-'Income Statement'!D13)</f>
        <v>7.5176024656918843</v>
      </c>
      <c r="E23" s="30">
        <f>('Income Statement'!E16-'Income Statement'!E13)/(-'Income Statement'!E13)</f>
        <v>9.1940077479785511</v>
      </c>
      <c r="F23" s="30">
        <f>('Income Statement'!F16-'Income Statement'!F13)/(-'Income Statement'!F13)</f>
        <v>10.309504914125602</v>
      </c>
      <c r="G23" s="30">
        <f>('Income Statement'!G16-'Income Statement'!G13)/(-'Income Statement'!G13)</f>
        <v>10.163321325895433</v>
      </c>
      <c r="H23" s="30">
        <f>('Income Statement'!H16-'Income Statement'!H13)/(-'Income Statement'!H13)</f>
        <v>13.838072763571262</v>
      </c>
      <c r="I23" s="30">
        <f>('Income Statement'!I16-'Income Statement'!I13)/(-'Income Statement'!I13)</f>
        <v>12.391940677539832</v>
      </c>
      <c r="J23" s="30">
        <f>('Income Statement'!J16-'Income Statement'!J13)/(-'Income Statement'!J13)</f>
        <v>12.796731234190638</v>
      </c>
      <c r="K23" s="30">
        <f>('Income Statement'!K16-'Income Statement'!K13)/(-'Income Statement'!K13)</f>
        <v>12.189134515701758</v>
      </c>
      <c r="L23" s="30">
        <f>('Income Statement'!L16-'Income Statement'!L13)/(-'Income Statement'!L13)</f>
        <v>10.339616598810249</v>
      </c>
      <c r="M23" s="30">
        <f>('Income Statement'!M16-'Income Statement'!M13)/(-'Income Statement'!M13)</f>
        <v>10.675853227088771</v>
      </c>
      <c r="N23" s="30">
        <f>('Income Statement'!N16-'Income Statement'!N13)/(-'Income Statement'!N13)</f>
        <v>10.079845097978822</v>
      </c>
      <c r="O23" s="30">
        <f>('Income Statement'!O16-'Income Statement'!O13)/(-'Income Statement'!O13)</f>
        <v>5.6104296633159771</v>
      </c>
      <c r="P23" s="30">
        <f>('Income Statement'!P16-'Income Statement'!P13)/(-'Income Statement'!P13)</f>
        <v>6.0663138625963109</v>
      </c>
      <c r="Q23" s="30">
        <f>('Income Statement'!Q16-'Income Statement'!Q13)/(-'Income Statement'!Q13)</f>
        <v>5.8969251404091745</v>
      </c>
      <c r="R23" s="30">
        <f>('Income Statement'!R16-'Income Statement'!R13)/(-'Income Statement'!R13)</f>
        <v>4.9071024578516038</v>
      </c>
      <c r="S23" s="30">
        <f>('Income Statement'!S16-'Income Statement'!S13)/(-'Income Statement'!S13)</f>
        <v>6.6066480536574259</v>
      </c>
      <c r="T23" s="30">
        <f>('Income Statement'!T16-'Income Statement'!T13)/(-'Income Statement'!T13)</f>
        <v>6.7978393435230116</v>
      </c>
      <c r="U23" s="30">
        <f>('Income Statement'!U16-'Income Statement'!U13)/(-'Income Statement'!U13)</f>
        <v>7.1455488778536234</v>
      </c>
      <c r="V23" s="30">
        <f>('Income Statement'!V16-'Income Statement'!V13)/(-'Income Statement'!V13)</f>
        <v>8.3320951661929605</v>
      </c>
    </row>
    <row r="24" spans="1:25" ht="15" customHeight="1" x14ac:dyDescent="0.3">
      <c r="A24" s="26" t="s">
        <v>134</v>
      </c>
      <c r="B24" s="27"/>
      <c r="C24" s="27"/>
      <c r="D24" s="27"/>
      <c r="E24" s="27"/>
      <c r="F24" s="27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5" ht="15" customHeight="1" x14ac:dyDescent="0.3">
      <c r="A25" s="4" t="s">
        <v>135</v>
      </c>
      <c r="B25" s="29">
        <f>'Income Statement'!B5*B$5/'Balance Sheet'!B18</f>
        <v>1.2190386899225916</v>
      </c>
      <c r="C25" s="29">
        <f>'Income Statement'!C5*C$5/'Balance Sheet'!C18</f>
        <v>1.2124148191560886</v>
      </c>
      <c r="D25" s="29">
        <f>'Income Statement'!D5*D$5/'Balance Sheet'!D18</f>
        <v>1.3614457128507813</v>
      </c>
      <c r="E25" s="29">
        <f>'Income Statement'!E5*E$5/'Balance Sheet'!E18</f>
        <v>1.2449037792186524</v>
      </c>
      <c r="F25" s="29">
        <f>'Income Statement'!F5*F$5/'Balance Sheet'!F18</f>
        <v>1.4393632169314343</v>
      </c>
      <c r="G25" s="30">
        <f>'Income Statement'!G5*G$5/'Balance Sheet'!G18</f>
        <v>1.3346383233791337</v>
      </c>
      <c r="H25" s="30">
        <f>'Income Statement'!H5*H$5/'Balance Sheet'!H18</f>
        <v>1.5387911914702883</v>
      </c>
      <c r="I25" s="30">
        <f>'Income Statement'!I5*I$5/'Balance Sheet'!I18</f>
        <v>1.3262836460255198</v>
      </c>
      <c r="J25" s="30">
        <f>'Income Statement'!J5*J$5/'Balance Sheet'!J18</f>
        <v>1.7436805545978413</v>
      </c>
      <c r="K25" s="30">
        <f>'Income Statement'!K5*K$5/'Balance Sheet'!K18</f>
        <v>1.6886136055389818</v>
      </c>
      <c r="L25" s="30">
        <f>'Income Statement'!L5*L$5/'Balance Sheet'!L18</f>
        <v>1.7527442108014417</v>
      </c>
      <c r="M25" s="30">
        <f>'Income Statement'!M5*M$5/'Balance Sheet'!M18</f>
        <v>1.5631038938913524</v>
      </c>
      <c r="N25" s="30">
        <f>'Income Statement'!N5*N$5/'Balance Sheet'!N18</f>
        <v>1.7188886800331165</v>
      </c>
      <c r="O25" s="30">
        <f>'Income Statement'!O5*O$5/'Balance Sheet'!O18</f>
        <v>1.813387420360657</v>
      </c>
      <c r="P25" s="30">
        <f>'Income Statement'!P5*P$5/'Balance Sheet'!P18</f>
        <v>1.5253268974902672</v>
      </c>
      <c r="Q25" s="30">
        <f>'Income Statement'!Q5*Q$5/'Balance Sheet'!Q18</f>
        <v>1.5661551205574344</v>
      </c>
      <c r="R25" s="30">
        <f>'Income Statement'!R5*R$5/'Balance Sheet'!R18</f>
        <v>1.563286298856098</v>
      </c>
      <c r="S25" s="30">
        <f>'Income Statement'!S5*S$5/'Balance Sheet'!S18</f>
        <v>1.7181354878692092</v>
      </c>
      <c r="T25" s="30">
        <f>'Income Statement'!T5*T$5/'Balance Sheet'!T18</f>
        <v>1.5915314019406908</v>
      </c>
      <c r="U25" s="30">
        <f>'Income Statement'!U5*U$5/'Balance Sheet'!U18</f>
        <v>1.4190464002392307</v>
      </c>
      <c r="V25" s="30">
        <f>'Income Statement'!V5*V$5/'Balance Sheet'!V18</f>
        <v>1.3735550716490526</v>
      </c>
    </row>
    <row r="26" spans="1:25" ht="15" customHeight="1" x14ac:dyDescent="0.3">
      <c r="A26" s="45" t="s">
        <v>157</v>
      </c>
      <c r="B26" s="36">
        <f>'Balance Sheet'!B11</f>
        <v>317039134</v>
      </c>
      <c r="C26" s="36">
        <f>AVERAGE('Balance Sheet'!B11:C11)</f>
        <v>336279058.5</v>
      </c>
      <c r="D26" s="36">
        <f>AVERAGE('Balance Sheet'!C11:D11)</f>
        <v>390780808.5</v>
      </c>
      <c r="E26" s="36">
        <f>AVERAGE('Balance Sheet'!D11:E11)</f>
        <v>476268401</v>
      </c>
      <c r="F26" s="36">
        <f>AVERAGE('Balance Sheet'!E11:F11)</f>
        <v>516512445.5</v>
      </c>
      <c r="G26" s="36">
        <f>AVERAGE('Balance Sheet'!F11:G11)</f>
        <v>577762728</v>
      </c>
      <c r="H26" s="36">
        <f>AVERAGE('Balance Sheet'!G11:H11)</f>
        <v>737425422</v>
      </c>
      <c r="I26" s="36">
        <f>AVERAGE('Balance Sheet'!H11:I11)</f>
        <v>903677631</v>
      </c>
      <c r="J26" s="36">
        <f>AVERAGE('Balance Sheet'!I11:J11)</f>
        <v>1147862320</v>
      </c>
      <c r="K26" s="36">
        <f>AVERAGE('Balance Sheet'!J11:K11)</f>
        <v>1350367185.5</v>
      </c>
      <c r="L26" s="36">
        <f>AVERAGE('Balance Sheet'!K11:L11)</f>
        <v>1500970011.5</v>
      </c>
      <c r="M26" s="36">
        <f>AVERAGE('Balance Sheet'!L11:M11)</f>
        <v>1741207808.5</v>
      </c>
      <c r="N26" s="36">
        <f>AVERAGE('Balance Sheet'!M11:N11)</f>
        <v>1940076494</v>
      </c>
      <c r="O26" s="36">
        <f>AVERAGE('Balance Sheet'!N11:O11)</f>
        <v>2204312794.5</v>
      </c>
      <c r="P26" s="36">
        <f>AVERAGE('Balance Sheet'!O11:P11)</f>
        <v>2665504690</v>
      </c>
      <c r="Q26" s="36">
        <f>AVERAGE('Balance Sheet'!P11:Q11)</f>
        <v>2984788917.5</v>
      </c>
      <c r="R26" s="36">
        <f>AVERAGE('Balance Sheet'!Q11:R11)</f>
        <v>2641200292</v>
      </c>
      <c r="S26" s="36">
        <f>AVERAGE('Balance Sheet'!R11:S11)</f>
        <v>2135050513</v>
      </c>
      <c r="T26" s="36">
        <f>AVERAGE('Balance Sheet'!S11:T11)</f>
        <v>2206515061.5</v>
      </c>
      <c r="U26" s="36">
        <f>AVERAGE('Balance Sheet'!T11:U11)</f>
        <v>2353177100</v>
      </c>
      <c r="V26" s="36">
        <f>AVERAGE('Balance Sheet'!U11:V11)</f>
        <v>2431539810</v>
      </c>
    </row>
    <row r="27" spans="1:25" ht="15" customHeight="1" x14ac:dyDescent="0.3">
      <c r="A27" s="4" t="s">
        <v>136</v>
      </c>
      <c r="B27" s="29">
        <f>(-'Income Statement'!B6)*B$5/B26</f>
        <v>9.6952151528397756</v>
      </c>
      <c r="C27" s="29">
        <f>(-'Income Statement'!C6)*C$5/C26</f>
        <v>9.661305531459373</v>
      </c>
      <c r="D27" s="29">
        <f>(-'Income Statement'!D6)*D$5/D26</f>
        <v>10.072091828429697</v>
      </c>
      <c r="E27" s="29">
        <f>(-'Income Statement'!E6)*E$5/E26</f>
        <v>7.5122630673958986</v>
      </c>
      <c r="F27" s="29">
        <f>(-'Income Statement'!F6)*F$5/F26</f>
        <v>7.7624070802762484</v>
      </c>
      <c r="G27" s="29">
        <f>(-'Income Statement'!G6)*G$5/G26</f>
        <v>7.3001937501236664</v>
      </c>
      <c r="H27" s="29">
        <f>(-'Income Statement'!H6)*H$5/H26</f>
        <v>7.2364208620949872</v>
      </c>
      <c r="I27" s="29">
        <f>(-'Income Statement'!I6)*I$5/I26</f>
        <v>5.603041298473836</v>
      </c>
      <c r="J27" s="29">
        <f>(-'Income Statement'!J6)*J$5/J26</f>
        <v>6.6212216635876677</v>
      </c>
      <c r="K27" s="29">
        <f>(-'Income Statement'!K6)*K$5/K26</f>
        <v>5.7601022355411793</v>
      </c>
      <c r="L27" s="29">
        <f>(-'Income Statement'!L6)*L$5/L26</f>
        <v>5.5487084220136662</v>
      </c>
      <c r="M27" s="29">
        <f>(-'Income Statement'!M6)*M$5/M26</f>
        <v>4.7097822999453891</v>
      </c>
      <c r="N27" s="29">
        <f>(-'Income Statement'!N6)*N$5/N26</f>
        <v>5.6201516124343085</v>
      </c>
      <c r="O27" s="29">
        <f>(-'Income Statement'!O6)*O$5/O26</f>
        <v>5.245117187019984</v>
      </c>
      <c r="P27" s="29">
        <f>(-'Income Statement'!P6)*P$5/P26</f>
        <v>4.0388763600337168</v>
      </c>
      <c r="Q27" s="29">
        <f>(-'Income Statement'!Q6)*Q$5/Q26</f>
        <v>3.7658384641868063</v>
      </c>
      <c r="R27" s="29">
        <f>(-'Income Statement'!R6)*R$5/R26</f>
        <v>4.4374899395172411</v>
      </c>
      <c r="S27" s="29">
        <f>(-'Income Statement'!S6)*S$5/S26</f>
        <v>6.1804886543215947</v>
      </c>
      <c r="T27" s="29">
        <f>(-'Income Statement'!T6)*T$5/T26</f>
        <v>6.4484393241926661</v>
      </c>
      <c r="U27" s="29">
        <f>(-'Income Statement'!U6)*U$5/U26</f>
        <v>5.8316967350226214</v>
      </c>
      <c r="V27" s="29">
        <f>(-'Income Statement'!V6)*V$5/V26</f>
        <v>6.1516607387974451</v>
      </c>
    </row>
    <row r="28" spans="1:25" ht="15" customHeight="1" x14ac:dyDescent="0.3">
      <c r="A28" s="4" t="s">
        <v>137</v>
      </c>
      <c r="B28" s="29">
        <f t="shared" ref="B28:V28" si="0">365/B27</f>
        <v>37.647436827958352</v>
      </c>
      <c r="C28" s="29">
        <f t="shared" si="0"/>
        <v>37.779573248302555</v>
      </c>
      <c r="D28" s="29">
        <f t="shared" si="0"/>
        <v>36.238748237952258</v>
      </c>
      <c r="E28" s="29">
        <f t="shared" si="0"/>
        <v>48.587222881496622</v>
      </c>
      <c r="F28" s="29">
        <f t="shared" si="0"/>
        <v>47.021496840514885</v>
      </c>
      <c r="G28" s="30">
        <f t="shared" si="0"/>
        <v>49.998672979579048</v>
      </c>
      <c r="H28" s="30">
        <f t="shared" si="0"/>
        <v>50.439299614523847</v>
      </c>
      <c r="I28" s="30">
        <f t="shared" si="0"/>
        <v>65.143192876236554</v>
      </c>
      <c r="J28" s="30">
        <f t="shared" si="0"/>
        <v>55.125778677258033</v>
      </c>
      <c r="K28" s="30">
        <f t="shared" si="0"/>
        <v>63.366930841585507</v>
      </c>
      <c r="L28" s="30">
        <f t="shared" si="0"/>
        <v>65.781074123829868</v>
      </c>
      <c r="M28" s="30">
        <f t="shared" si="0"/>
        <v>77.498274178029902</v>
      </c>
      <c r="N28" s="30">
        <f t="shared" si="0"/>
        <v>64.944867179820463</v>
      </c>
      <c r="O28" s="30">
        <f t="shared" si="0"/>
        <v>69.588531006182336</v>
      </c>
      <c r="P28" s="30">
        <f>365/P27</f>
        <v>90.371669608859477</v>
      </c>
      <c r="Q28" s="30">
        <f t="shared" si="0"/>
        <v>96.923966195352449</v>
      </c>
      <c r="R28" s="30">
        <f t="shared" si="0"/>
        <v>82.253707608339667</v>
      </c>
      <c r="S28" s="30">
        <f t="shared" si="0"/>
        <v>59.056819034006374</v>
      </c>
      <c r="T28" s="30">
        <f t="shared" si="0"/>
        <v>56.602843207444991</v>
      </c>
      <c r="U28" s="30">
        <f t="shared" si="0"/>
        <v>62.588988519922438</v>
      </c>
      <c r="V28" s="30">
        <f t="shared" si="0"/>
        <v>59.333571127875928</v>
      </c>
    </row>
    <row r="29" spans="1:25" ht="15" customHeight="1" x14ac:dyDescent="0.3">
      <c r="A29" s="45" t="s">
        <v>158</v>
      </c>
      <c r="B29" s="36">
        <f>'Balance Sheet'!B12</f>
        <v>201535452</v>
      </c>
      <c r="C29" s="36">
        <f>AVERAGE('Balance Sheet'!B12:C12)</f>
        <v>181629865.5</v>
      </c>
      <c r="D29" s="36">
        <f>AVERAGE('Balance Sheet'!C12:D12)</f>
        <v>188453541.5</v>
      </c>
      <c r="E29" s="36">
        <f>AVERAGE('Balance Sheet'!D12:E12)</f>
        <v>217049901.5</v>
      </c>
      <c r="F29" s="36">
        <f>AVERAGE('Balance Sheet'!E12:F12)</f>
        <v>231499647</v>
      </c>
      <c r="G29" s="36">
        <f>AVERAGE('Balance Sheet'!F12:G12)</f>
        <v>302102439.5</v>
      </c>
      <c r="H29" s="36">
        <f>AVERAGE('Balance Sheet'!G12:H12)</f>
        <v>356201959</v>
      </c>
      <c r="I29" s="36">
        <f>AVERAGE('Balance Sheet'!H12:I12)</f>
        <v>448748275</v>
      </c>
      <c r="J29" s="36">
        <f>AVERAGE('Balance Sheet'!I12:J12)</f>
        <v>534552846.5</v>
      </c>
      <c r="K29" s="36">
        <f>AVERAGE('Balance Sheet'!J12:K12)</f>
        <v>570985705.5</v>
      </c>
      <c r="L29" s="36">
        <f>AVERAGE('Balance Sheet'!K12:L12)</f>
        <v>618482876</v>
      </c>
      <c r="M29" s="36">
        <f>AVERAGE('Balance Sheet'!L12:M12)</f>
        <v>699477128</v>
      </c>
      <c r="N29" s="36">
        <f>AVERAGE('Balance Sheet'!M12:N12)</f>
        <v>1012667180.5</v>
      </c>
      <c r="O29" s="36">
        <f>AVERAGE('Balance Sheet'!N12:O12)</f>
        <v>1114464825.5</v>
      </c>
      <c r="P29" s="36">
        <f>AVERAGE('Balance Sheet'!O12:P12)</f>
        <v>1002574885.5</v>
      </c>
      <c r="Q29" s="36">
        <f>AVERAGE('Balance Sheet'!P12:Q12)</f>
        <v>934241213</v>
      </c>
      <c r="R29" s="36">
        <f>AVERAGE('Balance Sheet'!Q12:R12)</f>
        <v>739105503</v>
      </c>
      <c r="S29" s="36">
        <f>AVERAGE('Balance Sheet'!R12:S12)</f>
        <v>414085377.5</v>
      </c>
      <c r="T29" s="36">
        <f>AVERAGE('Balance Sheet'!S12:T12)</f>
        <v>210258470.5</v>
      </c>
      <c r="U29" s="36">
        <f>AVERAGE('Balance Sheet'!T12:U12)</f>
        <v>233535686</v>
      </c>
      <c r="V29" s="36">
        <f>AVERAGE('Balance Sheet'!U12:V12)</f>
        <v>285765486.5</v>
      </c>
    </row>
    <row r="30" spans="1:25" ht="15" customHeight="1" x14ac:dyDescent="0.3">
      <c r="A30" s="45" t="s">
        <v>160</v>
      </c>
      <c r="B30" s="36">
        <f>'Income Statement'!B5*B$5/B29</f>
        <v>23.149033054492069</v>
      </c>
      <c r="C30" s="36">
        <f>'Income Statement'!C5*C$5/C29</f>
        <v>25.343765989850386</v>
      </c>
      <c r="D30" s="36">
        <f>'Income Statement'!D5*D$5/D29</f>
        <v>29.602458747107175</v>
      </c>
      <c r="E30" s="36">
        <f>'Income Statement'!E5*E$5/E29</f>
        <v>24.193588454588632</v>
      </c>
      <c r="F30" s="36">
        <f>'Income Statement'!F5*F$5/F29</f>
        <v>26.936714352743699</v>
      </c>
      <c r="G30" s="36">
        <f>'Income Statement'!G5*G$5/G29</f>
        <v>20.829787533046385</v>
      </c>
      <c r="H30" s="36">
        <f>'Income Statement'!H5*H$5/H29</f>
        <v>22.633992060666909</v>
      </c>
      <c r="I30" s="36">
        <f>'Income Statement'!I5*I$5/I29</f>
        <v>17.09444090676449</v>
      </c>
      <c r="J30" s="36">
        <f>'Income Statement'!J5*J$5/J29</f>
        <v>20.80028425402838</v>
      </c>
      <c r="K30" s="36">
        <f>'Income Statement'!K5*K$5/K29</f>
        <v>20.022029150430281</v>
      </c>
      <c r="L30" s="36">
        <f>'Income Statement'!L5*L$5/L29</f>
        <v>20.153783077415387</v>
      </c>
      <c r="M30" s="36">
        <f>'Income Statement'!M5*M$5/M29</f>
        <v>17.335802073574019</v>
      </c>
      <c r="N30" s="36">
        <f>'Income Statement'!N5*N$5/N29</f>
        <v>15.513385643882827</v>
      </c>
      <c r="O30" s="36">
        <f>'Income Statement'!O5*O$5/O29</f>
        <v>14.577972655809045</v>
      </c>
      <c r="P30" s="36">
        <f>'Income Statement'!P5*P$5/P29</f>
        <v>15.607970048238357</v>
      </c>
      <c r="Q30" s="36">
        <f>'Income Statement'!Q5*Q$5/Q29</f>
        <v>17.283058672985344</v>
      </c>
      <c r="R30" s="36">
        <f>'Income Statement'!R5*R$5/R29</f>
        <v>23.181421085969102</v>
      </c>
      <c r="S30" s="36">
        <f>'Income Statement'!S5*S$5/S29</f>
        <v>47.948975237600607</v>
      </c>
      <c r="T30" s="36">
        <f>'Income Statement'!T5*T$5/T29</f>
        <v>104.50831403722211</v>
      </c>
      <c r="U30" s="36">
        <f>'Income Statement'!U5*U$5/U29</f>
        <v>89.558357398106594</v>
      </c>
      <c r="V30" s="36">
        <f>'Income Statement'!V5*V$5/V29</f>
        <v>80.7725111338804</v>
      </c>
      <c r="W30" s="31"/>
      <c r="X30" s="31"/>
      <c r="Y30" s="31"/>
    </row>
    <row r="31" spans="1:25" s="17" customFormat="1" ht="15" customHeight="1" x14ac:dyDescent="0.3">
      <c r="A31" s="4" t="s">
        <v>138</v>
      </c>
      <c r="B31" s="30">
        <f>365/B30</f>
        <v>15.767397244662527</v>
      </c>
      <c r="C31" s="30">
        <f t="shared" ref="C31:V31" si="1">365/C30</f>
        <v>14.401963786525426</v>
      </c>
      <c r="D31" s="30">
        <f t="shared" si="1"/>
        <v>12.330056875281304</v>
      </c>
      <c r="E31" s="30">
        <f t="shared" si="1"/>
        <v>15.086641681332434</v>
      </c>
      <c r="F31" s="30">
        <f t="shared" si="1"/>
        <v>13.550279192191905</v>
      </c>
      <c r="G31" s="30">
        <f t="shared" si="1"/>
        <v>17.522982383806305</v>
      </c>
      <c r="H31" s="30">
        <f t="shared" si="1"/>
        <v>16.126187506899978</v>
      </c>
      <c r="I31" s="30">
        <f t="shared" si="1"/>
        <v>21.351970619616161</v>
      </c>
      <c r="J31" s="30">
        <f t="shared" si="1"/>
        <v>17.547837113298616</v>
      </c>
      <c r="K31" s="30">
        <f t="shared" si="1"/>
        <v>18.229920516930022</v>
      </c>
      <c r="L31" s="30">
        <f t="shared" si="1"/>
        <v>18.11074370493866</v>
      </c>
      <c r="M31" s="30">
        <f t="shared" si="1"/>
        <v>21.054693544084177</v>
      </c>
      <c r="N31" s="30">
        <f t="shared" si="1"/>
        <v>23.528068493799434</v>
      </c>
      <c r="O31" s="30">
        <f t="shared" si="1"/>
        <v>25.037775047173959</v>
      </c>
      <c r="P31" s="30">
        <f t="shared" si="1"/>
        <v>23.385488239144646</v>
      </c>
      <c r="Q31" s="30">
        <f t="shared" si="1"/>
        <v>21.118946993481025</v>
      </c>
      <c r="R31" s="30">
        <f t="shared" si="1"/>
        <v>15.745367751458588</v>
      </c>
      <c r="S31" s="30">
        <f t="shared" si="1"/>
        <v>7.6122586184860621</v>
      </c>
      <c r="T31" s="30">
        <f t="shared" si="1"/>
        <v>3.4925450990435087</v>
      </c>
      <c r="U31" s="30">
        <f t="shared" si="1"/>
        <v>4.0755548739856264</v>
      </c>
      <c r="V31" s="30">
        <f t="shared" si="1"/>
        <v>4.5188640897274155</v>
      </c>
    </row>
    <row r="32" spans="1:25" s="17" customFormat="1" ht="15" customHeight="1" x14ac:dyDescent="0.3">
      <c r="A32" s="45" t="s">
        <v>159</v>
      </c>
      <c r="B32" s="30">
        <f>'Balance Sheet'!B37</f>
        <v>803004198</v>
      </c>
      <c r="C32" s="30">
        <f>AVERAGE('Balance Sheet'!B37:C37)</f>
        <v>712845995.5</v>
      </c>
      <c r="D32" s="30">
        <f>AVERAGE('Balance Sheet'!C37:D37)</f>
        <v>641586450</v>
      </c>
      <c r="E32" s="30">
        <f>AVERAGE('Balance Sheet'!D37:E37)</f>
        <v>633217106</v>
      </c>
      <c r="F32" s="30">
        <f>AVERAGE('Balance Sheet'!E37:F37)</f>
        <v>635988419</v>
      </c>
      <c r="G32" s="30">
        <f>AVERAGE('Balance Sheet'!F37:G37)</f>
        <v>675142708.5</v>
      </c>
      <c r="H32" s="30">
        <f>AVERAGE('Balance Sheet'!G37:H37)</f>
        <v>797889790</v>
      </c>
      <c r="I32" s="30">
        <f>AVERAGE('Balance Sheet'!H37:I37)</f>
        <v>958875790.5</v>
      </c>
      <c r="J32" s="30">
        <f>AVERAGE('Balance Sheet'!I37:J37)</f>
        <v>1279167499.5</v>
      </c>
      <c r="K32" s="30">
        <f>AVERAGE('Balance Sheet'!J37:K37)</f>
        <v>1363905491.5</v>
      </c>
      <c r="L32" s="30">
        <f>AVERAGE('Balance Sheet'!K37:L37)</f>
        <v>1158317700</v>
      </c>
      <c r="M32" s="30">
        <f>AVERAGE('Balance Sheet'!L37:M37)</f>
        <v>1262409131.5</v>
      </c>
      <c r="N32" s="30">
        <f>AVERAGE('Balance Sheet'!M37:N37)</f>
        <v>1621097047.5</v>
      </c>
      <c r="O32" s="30">
        <f>AVERAGE('Balance Sheet'!N37:O37)</f>
        <v>1786417082</v>
      </c>
      <c r="P32" s="30">
        <f>AVERAGE('Balance Sheet'!O37:P37)</f>
        <v>1853105617.5</v>
      </c>
      <c r="Q32" s="30">
        <f>AVERAGE('Balance Sheet'!P37:Q37)</f>
        <v>1869670001</v>
      </c>
      <c r="R32" s="30">
        <f>AVERAGE('Balance Sheet'!Q37:R37)</f>
        <v>1689770538</v>
      </c>
      <c r="S32" s="30">
        <f>AVERAGE('Balance Sheet'!R37:S37)</f>
        <v>1457317235</v>
      </c>
      <c r="T32" s="30">
        <f>AVERAGE('Balance Sheet'!S37:T37)</f>
        <v>1339770609</v>
      </c>
      <c r="U32" s="30">
        <f>AVERAGE('Balance Sheet'!T37:U37)</f>
        <v>1489552911.5</v>
      </c>
      <c r="V32" s="30">
        <f>AVERAGE('Balance Sheet'!U37:V37)</f>
        <v>1661972535.5</v>
      </c>
    </row>
    <row r="33" spans="1:22" s="17" customFormat="1" ht="15" customHeight="1" x14ac:dyDescent="0.3">
      <c r="A33" s="45" t="s">
        <v>156</v>
      </c>
      <c r="B33" s="30">
        <f>-'Income Statement'!B6*B$5/B32</f>
        <v>3.8278288253730897</v>
      </c>
      <c r="C33" s="30">
        <f>-'Income Statement'!C6*C$5/C32</f>
        <v>4.5576390251321826</v>
      </c>
      <c r="D33" s="30">
        <f>-'Income Statement'!D6*D$5/D32</f>
        <v>6.1347620231069406</v>
      </c>
      <c r="E33" s="30">
        <f>-'Income Statement'!E6*E$5/E32</f>
        <v>5.6502793198388419</v>
      </c>
      <c r="F33" s="30">
        <f>-'Income Statement'!F6*F$5/F32</f>
        <v>6.304171183343513</v>
      </c>
      <c r="G33" s="30">
        <f>-'Income Statement'!G6*G$5/G32</f>
        <v>6.247241957734925</v>
      </c>
      <c r="H33" s="30">
        <f>-'Income Statement'!H6*H$5/H32</f>
        <v>6.6880423523153496</v>
      </c>
      <c r="I33" s="30">
        <f>-'Income Statement'!I6*I$5/I32</f>
        <v>5.2804994527599352</v>
      </c>
      <c r="J33" s="30">
        <f>-'Income Statement'!J6*J$5/J32</f>
        <v>5.9415603218271107</v>
      </c>
      <c r="K33" s="30">
        <f>-'Income Statement'!K6*K$5/K32</f>
        <v>5.7029267001818509</v>
      </c>
      <c r="L33" s="30">
        <f>-'Income Statement'!L6*L$5/L32</f>
        <v>7.1901214528621979</v>
      </c>
      <c r="M33" s="30">
        <f>-'Income Statement'!M6*M$5/M32</f>
        <v>6.4960792126526217</v>
      </c>
      <c r="N33" s="30">
        <f>-'Income Statement'!N6*N$5/N32</f>
        <v>6.7260156033317307</v>
      </c>
      <c r="O33" s="30">
        <f>-'Income Statement'!O6*O$5/O32</f>
        <v>6.4721049974823295</v>
      </c>
      <c r="P33" s="30">
        <f>-'Income Statement'!P6*P$5/P32</f>
        <v>5.809514459582604</v>
      </c>
      <c r="Q33" s="30">
        <f>-'Income Statement'!Q6*Q$5/Q32</f>
        <v>6.0118806564731315</v>
      </c>
      <c r="R33" s="30">
        <f>-'Income Statement'!R6*R$5/R32</f>
        <v>6.9360303428369985</v>
      </c>
      <c r="S33" s="30">
        <f>-'Income Statement'!S6*S$5/S32</f>
        <v>9.0547583978858253</v>
      </c>
      <c r="T33" s="30">
        <f>-'Income Statement'!T6*T$5/T32</f>
        <v>10.620160194900947</v>
      </c>
      <c r="U33" s="30">
        <f>-'Income Statement'!U6*U$5/U32</f>
        <v>9.2128417225412544</v>
      </c>
      <c r="V33" s="30">
        <f>-'Income Statement'!V6*V$5/V32</f>
        <v>9.000153531117121</v>
      </c>
    </row>
    <row r="34" spans="1:22" s="17" customFormat="1" ht="15" customHeight="1" x14ac:dyDescent="0.3">
      <c r="A34" s="4" t="s">
        <v>155</v>
      </c>
      <c r="B34" s="30">
        <f>365/B33</f>
        <v>95.35431615451725</v>
      </c>
      <c r="C34" s="30">
        <f t="shared" ref="C34:V34" si="2">365/C33</f>
        <v>80.085324438219217</v>
      </c>
      <c r="D34" s="30">
        <f t="shared" si="2"/>
        <v>59.497010417878656</v>
      </c>
      <c r="E34" s="30">
        <f t="shared" si="2"/>
        <v>64.598576342666647</v>
      </c>
      <c r="F34" s="30">
        <f t="shared" si="2"/>
        <v>57.898173984294743</v>
      </c>
      <c r="G34" s="30">
        <f t="shared" si="2"/>
        <v>58.425782524411588</v>
      </c>
      <c r="H34" s="30">
        <f t="shared" si="2"/>
        <v>54.5750132508715</v>
      </c>
      <c r="I34" s="30">
        <f t="shared" si="2"/>
        <v>69.122249375336466</v>
      </c>
      <c r="J34" s="30">
        <f t="shared" si="2"/>
        <v>61.431674548371419</v>
      </c>
      <c r="K34" s="30">
        <f t="shared" si="2"/>
        <v>64.002225381638013</v>
      </c>
      <c r="L34" s="30">
        <f t="shared" si="2"/>
        <v>50.764093818568682</v>
      </c>
      <c r="M34" s="30">
        <f t="shared" si="2"/>
        <v>56.187738488329671</v>
      </c>
      <c r="N34" s="30">
        <f t="shared" si="2"/>
        <v>54.266897599701871</v>
      </c>
      <c r="O34" s="30">
        <f t="shared" si="2"/>
        <v>56.395871226129088</v>
      </c>
      <c r="P34" s="30">
        <f t="shared" si="2"/>
        <v>62.827969968805988</v>
      </c>
      <c r="Q34" s="30">
        <f t="shared" si="2"/>
        <v>60.713114723426195</v>
      </c>
      <c r="R34" s="30">
        <f t="shared" si="2"/>
        <v>52.623760560238047</v>
      </c>
      <c r="S34" s="30">
        <f t="shared" si="2"/>
        <v>40.310296968853748</v>
      </c>
      <c r="T34" s="30">
        <f t="shared" si="2"/>
        <v>34.368596452551373</v>
      </c>
      <c r="U34" s="30">
        <f t="shared" si="2"/>
        <v>39.618611823857428</v>
      </c>
      <c r="V34" s="30">
        <f t="shared" si="2"/>
        <v>40.554863729607433</v>
      </c>
    </row>
    <row r="35" spans="1:22" s="17" customFormat="1" ht="15" customHeight="1" x14ac:dyDescent="0.3">
      <c r="A35" s="4" t="s">
        <v>154</v>
      </c>
      <c r="B35" s="30">
        <f>(B$28+B$31)-B$34</f>
        <v>-41.939482081896372</v>
      </c>
      <c r="C35" s="30">
        <f t="shared" ref="C35:V35" si="3">(C$28+C$31)-C$34</f>
        <v>-27.903787403391235</v>
      </c>
      <c r="D35" s="30">
        <f t="shared" si="3"/>
        <v>-10.92820530464509</v>
      </c>
      <c r="E35" s="30">
        <f t="shared" si="3"/>
        <v>-0.92471177983759389</v>
      </c>
      <c r="F35" s="30">
        <f t="shared" si="3"/>
        <v>2.6736020484120502</v>
      </c>
      <c r="G35" s="30">
        <f t="shared" si="3"/>
        <v>9.0958728389737615</v>
      </c>
      <c r="H35" s="30">
        <f t="shared" si="3"/>
        <v>11.990473870552329</v>
      </c>
      <c r="I35" s="30">
        <f t="shared" si="3"/>
        <v>17.372914120516256</v>
      </c>
      <c r="J35" s="30">
        <f t="shared" si="3"/>
        <v>11.241941242185234</v>
      </c>
      <c r="K35" s="30">
        <f t="shared" si="3"/>
        <v>17.594625976877509</v>
      </c>
      <c r="L35" s="30">
        <f t="shared" si="3"/>
        <v>33.127724010199842</v>
      </c>
      <c r="M35" s="30">
        <f t="shared" si="3"/>
        <v>42.365229233784405</v>
      </c>
      <c r="N35" s="30">
        <f t="shared" si="3"/>
        <v>34.20603807391803</v>
      </c>
      <c r="O35" s="30">
        <f t="shared" si="3"/>
        <v>38.230434827227214</v>
      </c>
      <c r="P35" s="30">
        <f t="shared" si="3"/>
        <v>50.929187879198139</v>
      </c>
      <c r="Q35" s="30">
        <f t="shared" si="3"/>
        <v>57.329798465407272</v>
      </c>
      <c r="R35" s="30">
        <f>(R$28+R$31)-R$34</f>
        <v>45.375314799560208</v>
      </c>
      <c r="S35" s="30">
        <f t="shared" si="3"/>
        <v>26.358780683638685</v>
      </c>
      <c r="T35" s="30">
        <f t="shared" si="3"/>
        <v>25.726791853937129</v>
      </c>
      <c r="U35" s="30">
        <f t="shared" si="3"/>
        <v>27.045931570050634</v>
      </c>
      <c r="V35" s="30">
        <f t="shared" si="3"/>
        <v>23.29757148799591</v>
      </c>
    </row>
    <row r="36" spans="1:22" ht="15" customHeight="1" x14ac:dyDescent="0.3">
      <c r="A36" s="26" t="s">
        <v>139</v>
      </c>
      <c r="B36" s="37"/>
      <c r="C36" s="37"/>
      <c r="D36" s="37"/>
      <c r="E36" s="37"/>
      <c r="F36" s="37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ht="15" customHeight="1" x14ac:dyDescent="0.3">
      <c r="A37" s="4" t="s">
        <v>140</v>
      </c>
      <c r="B37" s="38">
        <f>'Income Statement'!B21</f>
        <v>0.11</v>
      </c>
      <c r="C37" s="38">
        <f>'Income Statement'!C21</f>
        <v>0.114</v>
      </c>
      <c r="D37" s="38">
        <f>'Income Statement'!D21</f>
        <v>0.16</v>
      </c>
      <c r="E37" s="38">
        <f>'Income Statement'!E21</f>
        <v>0.65</v>
      </c>
      <c r="F37" s="38">
        <f>'Income Statement'!F21</f>
        <v>0.2</v>
      </c>
      <c r="G37" s="39">
        <f>'Income Statement'!G21</f>
        <v>0.27</v>
      </c>
      <c r="H37" s="39">
        <f>'Income Statement'!H21</f>
        <v>0.4</v>
      </c>
      <c r="I37" s="39">
        <f>'Income Statement'!I21</f>
        <v>1.36</v>
      </c>
      <c r="J37" s="39">
        <f>'Income Statement'!J21</f>
        <v>0.53</v>
      </c>
      <c r="K37" s="39">
        <f>'Income Statement'!K21</f>
        <v>0.55000000000000004</v>
      </c>
      <c r="L37" s="39">
        <f>'Income Statement'!L21</f>
        <v>0.62</v>
      </c>
      <c r="M37" s="39">
        <f>'Income Statement'!M21</f>
        <v>2.17</v>
      </c>
      <c r="N37" s="39">
        <f>'Income Statement'!N21</f>
        <v>0.63</v>
      </c>
      <c r="O37" s="39">
        <f>'Income Statement'!O21</f>
        <v>0.45</v>
      </c>
      <c r="P37" s="39">
        <f>'Income Statement'!P21</f>
        <v>0.52</v>
      </c>
      <c r="Q37" s="39">
        <f>'Income Statement'!Q21</f>
        <v>2.06</v>
      </c>
      <c r="R37" s="39">
        <f>'Income Statement'!R21</f>
        <v>0.55000000000000004</v>
      </c>
      <c r="S37" s="39">
        <f>'Income Statement'!S21</f>
        <v>0.6</v>
      </c>
      <c r="T37" s="39">
        <f>'Income Statement'!T21</f>
        <v>0.48</v>
      </c>
      <c r="U37" s="39">
        <f>'Income Statement'!U21</f>
        <v>2.1800000000000002</v>
      </c>
      <c r="V37" s="39">
        <f>'Income Statement'!V21</f>
        <v>0.59</v>
      </c>
    </row>
    <row r="38" spans="1:22" ht="15" customHeight="1" x14ac:dyDescent="0.3">
      <c r="A38" s="4" t="s">
        <v>141</v>
      </c>
      <c r="B38" s="33"/>
      <c r="C38" s="33"/>
      <c r="D38" s="33"/>
      <c r="E38" s="33"/>
      <c r="F38" s="33">
        <f>'Income Statement'!F5/'Income Statement'!B5-1</f>
        <v>0.33662827895704406</v>
      </c>
      <c r="G38" s="34">
        <f>'Income Statement'!G5/'Income Statement'!C5-1</f>
        <v>0.36703823341259167</v>
      </c>
      <c r="H38" s="34">
        <f>'Income Statement'!H5/'Income Statement'!D5-1</f>
        <v>0.44519142140661261</v>
      </c>
      <c r="I38" s="34">
        <f>'Income Statement'!I5/'Income Statement'!E5-1</f>
        <v>0.46082371819163659</v>
      </c>
      <c r="J38" s="34">
        <f>'Income Statement'!J5/'Income Statement'!F5-1</f>
        <v>0.78305591524086648</v>
      </c>
      <c r="K38" s="34">
        <f>'Income Statement'!K5/'Income Statement'!G5-1</f>
        <v>0.81674616832909952</v>
      </c>
      <c r="L38" s="34">
        <f>'Income Statement'!L5/'Income Statement'!H5-1</f>
        <v>0.54606161112261864</v>
      </c>
      <c r="M38" s="34">
        <f>'Income Statement'!M5/'Income Statement'!I5-1</f>
        <v>0.58073753077643175</v>
      </c>
      <c r="N38" s="34">
        <f>'Income Statement'!N5/'Income Statement'!J5-1</f>
        <v>0.41290644865972159</v>
      </c>
      <c r="O38" s="34">
        <f>'Income Statement'!O5/'Income Statement'!K5-1</f>
        <v>0.4211181035883298</v>
      </c>
      <c r="P38" s="34">
        <f>'Income Statement'!P5/'Income Statement'!L5-1</f>
        <v>0.25539092462271329</v>
      </c>
      <c r="Q38" s="34">
        <f>'Income Statement'!Q5/'Income Statement'!M5-1</f>
        <v>0.3315643767475811</v>
      </c>
      <c r="R38" s="34">
        <f>'Income Statement'!R5/'Income Statement'!N5-1</f>
        <v>9.0619272507619586E-2</v>
      </c>
      <c r="S38" s="34">
        <f>'Income Statement'!S5/'Income Statement'!O5-1</f>
        <v>0.22209713880989357</v>
      </c>
      <c r="T38" s="34">
        <f>'Income Statement'!T5/'Income Statement'!P5-1</f>
        <v>0.40423921864007584</v>
      </c>
      <c r="U38" s="34">
        <f>'Income Statement'!U5/'Income Statement'!Q5-1</f>
        <v>0.29532798047915154</v>
      </c>
      <c r="V38" s="34">
        <f>'Income Statement'!V5/'Income Statement'!R5-1</f>
        <v>0.34718385213495329</v>
      </c>
    </row>
    <row r="39" spans="1:22" ht="14.25" customHeight="1" x14ac:dyDescent="0.3">
      <c r="A39" s="40" t="s">
        <v>142</v>
      </c>
      <c r="B39" s="34"/>
      <c r="C39" s="34"/>
      <c r="D39" s="34"/>
      <c r="E39" s="34"/>
      <c r="F39" s="34">
        <f>'Income Statement'!F18/'Income Statement'!B18-1</f>
        <v>0.83527522572442026</v>
      </c>
      <c r="G39" s="34">
        <f>'Income Statement'!G18/'Income Statement'!C18-1</f>
        <v>1.3607193052684163</v>
      </c>
      <c r="H39" s="34">
        <f>'Income Statement'!H18/'Income Statement'!D18-1</f>
        <v>1.5442014226146763</v>
      </c>
      <c r="I39" s="34">
        <f>'Income Statement'!I18/'Income Statement'!E18-1</f>
        <v>1.0331102896877011</v>
      </c>
      <c r="J39" s="34">
        <f>'Income Statement'!J18/'Income Statement'!F18-1</f>
        <v>1.5346440228474041</v>
      </c>
      <c r="K39" s="34">
        <f>'Income Statement'!K18/'Income Statement'!G18-1</f>
        <v>0.94957379270465325</v>
      </c>
      <c r="L39" s="34">
        <f>'Income Statement'!L18/'Income Statement'!H18-1</f>
        <v>0.4852842204517509</v>
      </c>
      <c r="M39" s="34">
        <f>'Income Statement'!M18/'Income Statement'!I18-1</f>
        <v>0.57027838086517324</v>
      </c>
      <c r="N39" s="34">
        <f>'Income Statement'!N18/'Income Statement'!J18-1</f>
        <v>0.16246382868333997</v>
      </c>
      <c r="O39" s="34">
        <f>'Income Statement'!O18/'Income Statement'!K18-1</f>
        <v>-0.18026815439477961</v>
      </c>
      <c r="P39" s="34">
        <f>'Income Statement'!P18/'Income Statement'!L18-1</f>
        <v>-0.15915529020074992</v>
      </c>
      <c r="Q39" s="34">
        <f>'Income Statement'!Q18/'Income Statement'!M18-1</f>
        <v>-6.0535412724194826E-2</v>
      </c>
      <c r="R39" s="34">
        <f>'Income Statement'!R18/'Income Statement'!N18-1</f>
        <v>-0.12684897509215198</v>
      </c>
      <c r="S39" s="34">
        <f>'Income Statement'!S18/'Income Statement'!O18-1</f>
        <v>0.87678236667269793</v>
      </c>
      <c r="T39" s="34">
        <f>'Income Statement'!T18/'Income Statement'!P18-1</f>
        <v>0.98213185670811476</v>
      </c>
      <c r="U39" s="34">
        <f>'Income Statement'!U18/'Income Statement'!Q18-1</f>
        <v>0.90430313834028553</v>
      </c>
      <c r="V39" s="34">
        <f>'Income Statement'!V18/'Income Statement'!R18-1</f>
        <v>1.2361981629331282</v>
      </c>
    </row>
    <row r="40" spans="1:22" x14ac:dyDescent="0.3">
      <c r="A40" s="49" t="s">
        <v>161</v>
      </c>
    </row>
    <row r="41" spans="1:22" x14ac:dyDescent="0.3">
      <c r="A41" s="50" t="s">
        <v>162</v>
      </c>
      <c r="B41" s="51">
        <v>29.14</v>
      </c>
    </row>
    <row r="42" spans="1:22" x14ac:dyDescent="0.3">
      <c r="A42" s="52" t="s">
        <v>163</v>
      </c>
      <c r="B42" s="53">
        <f>$B$41*'Income Statement'!B19/('Income Statement'!B5*B$5*'Income Statement'!B21)</f>
        <v>4.6388087500286384</v>
      </c>
      <c r="C42" s="53">
        <f>$B$41*'Income Statement'!C19/('Income Statement'!C5*C$5*'Income Statement'!C21)</f>
        <v>4.592105747437401</v>
      </c>
      <c r="D42" s="53">
        <f>$B$41*'Income Statement'!D19/('Income Statement'!D5*D$5*'Income Statement'!D21)</f>
        <v>3.6809231199587527</v>
      </c>
      <c r="E42" s="53">
        <f>$B$41*'Income Statement'!E19/('Income Statement'!E5*E$5*'Income Statement'!E21)</f>
        <v>4.0273280714878137</v>
      </c>
      <c r="F42" s="53">
        <f>$B$41*'Income Statement'!F19/('Income Statement'!F5*F$5*'Income Statement'!F21)</f>
        <v>3.4596713469581171</v>
      </c>
      <c r="G42" s="53">
        <f>$B$41*'Income Statement'!G19/('Income Statement'!G5*G$5*'Income Statement'!G21)</f>
        <v>3.3727754353224917</v>
      </c>
      <c r="H42" s="53">
        <f>$B$41*'Income Statement'!H19/('Income Statement'!H5*H$5*'Income Statement'!H21)</f>
        <v>2.5930395651773663</v>
      </c>
      <c r="I42" s="53">
        <f>$B$41*'Income Statement'!I19/('Income Statement'!I5*I$5*'Income Statement'!I21)</f>
        <v>2.6950090011585273</v>
      </c>
      <c r="J42" s="53">
        <f>$B$41*'Income Statement'!J19/('Income Statement'!J5*J$5*'Income Statement'!J21)</f>
        <v>1.850083578789206</v>
      </c>
      <c r="K42" s="53">
        <f>$B$41*'Income Statement'!K19/('Income Statement'!K5*K$5*'Income Statement'!K21)</f>
        <v>1.7882624941669178</v>
      </c>
      <c r="L42" s="53">
        <f>$B$41*'Income Statement'!L19/('Income Statement'!L5*L$5*'Income Statement'!L21)</f>
        <v>1.62377260099114</v>
      </c>
      <c r="M42" s="53">
        <f>$B$41*'Income Statement'!M19/('Income Statement'!M5*M$5*'Income Statement'!M21)</f>
        <v>1.6885818266357417</v>
      </c>
      <c r="N42" s="53">
        <f>$B$41*'Income Statement'!N19/('Income Statement'!N5*N$5*'Income Statement'!N21)</f>
        <v>1.2949393255088479</v>
      </c>
      <c r="O42" s="53">
        <f>$B$41*'Income Statement'!O19/('Income Statement'!O5*O$5*'Income Statement'!O21)</f>
        <v>1.2682697153437597</v>
      </c>
      <c r="P42" s="53">
        <f>$B$41*'Income Statement'!P19/('Income Statement'!P5*P$5*'Income Statement'!P21)</f>
        <v>1.2953317089559198</v>
      </c>
      <c r="Q42" s="53">
        <f>$B$41*'Income Statement'!Q19/('Income Statement'!Q5*Q$5*'Income Statement'!Q21)</f>
        <v>1.2636326090863419</v>
      </c>
      <c r="R42" s="53">
        <f>$B$41*'Income Statement'!R19/('Income Statement'!R5*R$5*'Income Statement'!R21)</f>
        <v>1.1891826385003574</v>
      </c>
      <c r="S42" s="53">
        <f>$B$41*'Income Statement'!S19/('Income Statement'!S5*S$5*'Income Statement'!S21)</f>
        <v>1.4508739828848818</v>
      </c>
      <c r="T42" s="53">
        <f>$B$41*'Income Statement'!T19/('Income Statement'!T5*T$5*'Income Statement'!T21)</f>
        <v>1.9768034716227825</v>
      </c>
      <c r="U42" s="53">
        <f>$B$41*'Income Statement'!U19/('Income Statement'!U5*U$5*'Income Statement'!U21)</f>
        <v>1.7572707248245905</v>
      </c>
      <c r="V42" s="53">
        <f>$B$41*'Income Statement'!V19/('Income Statement'!V5*V$5*'Income Statement'!V21)</f>
        <v>1.86976091042292</v>
      </c>
    </row>
  </sheetData>
  <mergeCells count="2">
    <mergeCell ref="A1:F1"/>
    <mergeCell ref="A2:F2"/>
  </mergeCells>
  <conditionalFormatting sqref="B37:F38">
    <cfRule type="cellIs" dxfId="3" priority="2" operator="lessThan">
      <formula>0</formula>
    </cfRule>
    <cfRule type="cellIs" dxfId="2" priority="3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ignoredErrors>
    <ignoredError sqref="A1:XFD1 A31:XFD31 W30:XFD30 A28:XFD29 A27 W27:XFD27 A34:XFD39 A32 W32:XFD32 A33 W33:XFD33 A43:XFD1048576 B40:XFD40 C41:XFD41 W42:XFD42 A3:XFD26" formulaRange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D5B79"/>
  </sheetPr>
  <dimension ref="A1:G32"/>
  <sheetViews>
    <sheetView showGridLines="0" zoomScale="90" zoomScaleNormal="90" workbookViewId="0">
      <pane xSplit="1" ySplit="5" topLeftCell="B10" activePane="bottomRight" state="frozen"/>
      <selection pane="topRight" activeCell="B1" sqref="B1"/>
      <selection pane="bottomLeft" activeCell="A6" sqref="A6"/>
      <selection pane="bottomRight" activeCell="A2" sqref="A2:XFD2"/>
    </sheetView>
  </sheetViews>
  <sheetFormatPr defaultColWidth="8.6640625" defaultRowHeight="14.4" x14ac:dyDescent="0.3"/>
  <cols>
    <col min="1" max="1" width="38" customWidth="1"/>
    <col min="2" max="7" width="13.44140625" customWidth="1"/>
  </cols>
  <sheetData>
    <row r="1" spans="1:7" ht="24" customHeight="1" x14ac:dyDescent="0.3">
      <c r="A1" s="54" t="s">
        <v>86</v>
      </c>
      <c r="B1" s="54"/>
      <c r="C1" s="54"/>
      <c r="D1" s="54"/>
      <c r="E1" s="54"/>
      <c r="F1" s="54"/>
      <c r="G1" s="54"/>
    </row>
    <row r="2" spans="1:7" ht="15" customHeight="1" thickBot="1" x14ac:dyDescent="0.35">
      <c r="A2" s="55"/>
      <c r="B2" s="55"/>
      <c r="C2" s="55"/>
      <c r="D2" s="55"/>
      <c r="E2" s="55"/>
      <c r="F2" s="55"/>
      <c r="G2" s="55"/>
    </row>
    <row r="4" spans="1:7" s="17" customFormat="1" ht="15" customHeight="1" x14ac:dyDescent="0.3">
      <c r="A4" s="1" t="s">
        <v>1</v>
      </c>
      <c r="B4" s="3" t="s">
        <v>5</v>
      </c>
      <c r="C4" s="3" t="s">
        <v>9</v>
      </c>
      <c r="D4" s="3" t="s">
        <v>13</v>
      </c>
      <c r="E4" s="3" t="s">
        <v>17</v>
      </c>
      <c r="F4" s="3" t="s">
        <v>21</v>
      </c>
      <c r="G4" s="2" t="s">
        <v>22</v>
      </c>
    </row>
    <row r="5" spans="1:7" ht="15" customHeight="1" x14ac:dyDescent="0.3">
      <c r="A5" s="20" t="s">
        <v>87</v>
      </c>
      <c r="B5" s="21" t="s">
        <v>89</v>
      </c>
      <c r="C5" s="21" t="s">
        <v>89</v>
      </c>
      <c r="D5" s="21" t="s">
        <v>89</v>
      </c>
      <c r="E5" s="21" t="s">
        <v>89</v>
      </c>
      <c r="F5" s="21" t="s">
        <v>89</v>
      </c>
      <c r="G5" s="21" t="s">
        <v>88</v>
      </c>
    </row>
    <row r="6" spans="1:7" s="17" customFormat="1" ht="15" customHeight="1" x14ac:dyDescent="0.3">
      <c r="A6" s="18" t="s">
        <v>90</v>
      </c>
      <c r="B6" s="22"/>
      <c r="C6" s="22"/>
      <c r="D6" s="22"/>
      <c r="E6" s="22"/>
      <c r="F6" s="22"/>
      <c r="G6" s="22"/>
    </row>
    <row r="7" spans="1:7" ht="15" customHeight="1" x14ac:dyDescent="0.3">
      <c r="A7" s="4" t="s">
        <v>34</v>
      </c>
      <c r="B7" s="5">
        <v>634290716</v>
      </c>
      <c r="C7" s="5">
        <v>1270783958</v>
      </c>
      <c r="D7" s="5">
        <v>2050622094</v>
      </c>
      <c r="E7" s="5">
        <v>1971704045</v>
      </c>
      <c r="F7" s="5">
        <v>3703837580</v>
      </c>
      <c r="G7" s="10"/>
    </row>
    <row r="8" spans="1:7" ht="15" customHeight="1" x14ac:dyDescent="0.3">
      <c r="A8" s="6" t="s">
        <v>91</v>
      </c>
      <c r="B8" s="7">
        <v>339398313</v>
      </c>
      <c r="C8" s="23"/>
      <c r="D8" s="7">
        <v>250518978</v>
      </c>
      <c r="E8" s="7">
        <v>339762089</v>
      </c>
      <c r="F8" s="7">
        <v>429500144</v>
      </c>
      <c r="G8" s="23"/>
    </row>
    <row r="9" spans="1:7" ht="15" customHeight="1" x14ac:dyDescent="0.3">
      <c r="A9" s="4" t="s">
        <v>92</v>
      </c>
      <c r="B9" s="5">
        <v>23078685</v>
      </c>
      <c r="C9" s="10"/>
      <c r="D9" s="5">
        <v>24706566</v>
      </c>
      <c r="E9" s="5">
        <v>22053035</v>
      </c>
      <c r="F9" s="5">
        <v>35806909</v>
      </c>
      <c r="G9" s="10"/>
    </row>
    <row r="10" spans="1:7" ht="15" customHeight="1" x14ac:dyDescent="0.3">
      <c r="A10" s="6" t="s">
        <v>93</v>
      </c>
      <c r="B10" s="7">
        <v>11060520</v>
      </c>
      <c r="C10" s="23"/>
      <c r="D10" s="7">
        <v>7553866</v>
      </c>
      <c r="E10" s="7">
        <v>11060520</v>
      </c>
      <c r="F10" s="7">
        <v>12669115</v>
      </c>
      <c r="G10" s="23"/>
    </row>
    <row r="11" spans="1:7" ht="15" customHeight="1" x14ac:dyDescent="0.3">
      <c r="A11" s="4" t="s">
        <v>94</v>
      </c>
      <c r="B11" s="5">
        <v>77409094</v>
      </c>
      <c r="C11" s="10"/>
      <c r="D11" s="5">
        <v>195775875</v>
      </c>
      <c r="E11" s="5">
        <v>376398830</v>
      </c>
      <c r="F11" s="5">
        <v>554787380</v>
      </c>
      <c r="G11" s="10"/>
    </row>
    <row r="12" spans="1:7" ht="15" customHeight="1" x14ac:dyDescent="0.3">
      <c r="A12" s="6" t="s">
        <v>95</v>
      </c>
      <c r="B12" s="7">
        <v>-77084184</v>
      </c>
      <c r="C12" s="23"/>
      <c r="D12" s="7">
        <v>-213587378</v>
      </c>
      <c r="E12" s="7">
        <v>-168265279</v>
      </c>
      <c r="F12" s="7">
        <v>-556045830</v>
      </c>
      <c r="G12" s="23"/>
    </row>
    <row r="13" spans="1:7" ht="15" customHeight="1" x14ac:dyDescent="0.3">
      <c r="A13" s="8" t="s">
        <v>96</v>
      </c>
      <c r="B13" s="24">
        <v>311854466</v>
      </c>
      <c r="C13" s="24">
        <v>861536860</v>
      </c>
      <c r="D13" s="24">
        <v>1049280113</v>
      </c>
      <c r="E13" s="24">
        <v>854487748</v>
      </c>
      <c r="F13" s="24">
        <v>4311415865</v>
      </c>
      <c r="G13" s="24">
        <v>882208742</v>
      </c>
    </row>
    <row r="14" spans="1:7" s="17" customFormat="1" ht="15" customHeight="1" x14ac:dyDescent="0.3">
      <c r="A14" s="18" t="s">
        <v>97</v>
      </c>
      <c r="B14" s="22"/>
      <c r="C14" s="22"/>
      <c r="D14" s="22"/>
      <c r="E14" s="22"/>
      <c r="F14" s="22"/>
      <c r="G14" s="22"/>
    </row>
    <row r="15" spans="1:7" ht="15" customHeight="1" x14ac:dyDescent="0.3">
      <c r="A15" s="4" t="s">
        <v>98</v>
      </c>
      <c r="B15" s="5">
        <v>-146131739</v>
      </c>
      <c r="C15" s="5">
        <v>-296181496</v>
      </c>
      <c r="D15" s="5">
        <v>-572147343</v>
      </c>
      <c r="E15" s="5">
        <v>-1238601054</v>
      </c>
      <c r="F15" s="5">
        <v>-1020200150</v>
      </c>
      <c r="G15" s="10"/>
    </row>
    <row r="16" spans="1:7" ht="15" customHeight="1" x14ac:dyDescent="0.3">
      <c r="A16" s="6" t="s">
        <v>99</v>
      </c>
      <c r="B16" s="7">
        <v>-15495981</v>
      </c>
      <c r="C16" s="23"/>
      <c r="D16" s="7">
        <v>-2326936</v>
      </c>
      <c r="E16" s="7">
        <v>-228000</v>
      </c>
      <c r="F16" s="7">
        <v>-61564140</v>
      </c>
      <c r="G16" s="23"/>
    </row>
    <row r="17" spans="1:7" ht="15" customHeight="1" x14ac:dyDescent="0.3">
      <c r="A17" s="4" t="s">
        <v>100</v>
      </c>
      <c r="B17" s="5">
        <v>20083916</v>
      </c>
      <c r="C17" s="10"/>
      <c r="D17" s="5">
        <v>6035664</v>
      </c>
      <c r="E17" s="5">
        <v>6096820</v>
      </c>
      <c r="F17" s="5">
        <v>33352073</v>
      </c>
      <c r="G17" s="10"/>
    </row>
    <row r="18" spans="1:7" ht="15" customHeight="1" x14ac:dyDescent="0.3">
      <c r="A18" s="6" t="s">
        <v>101</v>
      </c>
      <c r="B18" s="7">
        <v>60911310</v>
      </c>
      <c r="C18" s="23"/>
      <c r="D18" s="7">
        <v>215911491</v>
      </c>
      <c r="E18" s="7">
        <v>137960554</v>
      </c>
      <c r="F18" s="7">
        <v>438015075</v>
      </c>
      <c r="G18" s="23"/>
    </row>
    <row r="19" spans="1:7" ht="15" customHeight="1" x14ac:dyDescent="0.3">
      <c r="A19" s="4" t="s">
        <v>102</v>
      </c>
      <c r="B19" s="5">
        <v>-1137766286</v>
      </c>
      <c r="C19" s="5">
        <v>-1147508720</v>
      </c>
      <c r="D19" s="5">
        <v>-4664845933</v>
      </c>
      <c r="E19" s="5">
        <v>-1955683983</v>
      </c>
      <c r="F19" s="5">
        <v>-8476385049</v>
      </c>
      <c r="G19" s="10"/>
    </row>
    <row r="20" spans="1:7" ht="15" customHeight="1" x14ac:dyDescent="0.3">
      <c r="A20" s="6" t="s">
        <v>103</v>
      </c>
      <c r="B20" s="7">
        <v>885252165</v>
      </c>
      <c r="C20" s="7">
        <v>1239545316</v>
      </c>
      <c r="D20" s="7">
        <v>5207775393</v>
      </c>
      <c r="E20" s="7">
        <v>1518125049</v>
      </c>
      <c r="F20" s="7">
        <v>5909043739</v>
      </c>
      <c r="G20" s="23"/>
    </row>
    <row r="21" spans="1:7" ht="15" customHeight="1" x14ac:dyDescent="0.3">
      <c r="A21" s="8" t="s">
        <v>104</v>
      </c>
      <c r="B21" s="24">
        <v>-445863521</v>
      </c>
      <c r="C21" s="24">
        <v>-325171347</v>
      </c>
      <c r="D21" s="24">
        <v>-68294071</v>
      </c>
      <c r="E21" s="24">
        <v>-1532330614</v>
      </c>
      <c r="F21" s="24">
        <v>-4139007449</v>
      </c>
      <c r="G21" s="24">
        <v>-367906335</v>
      </c>
    </row>
    <row r="22" spans="1:7" s="17" customFormat="1" ht="15" customHeight="1" x14ac:dyDescent="0.3">
      <c r="A22" s="18" t="s">
        <v>105</v>
      </c>
      <c r="B22" s="22"/>
      <c r="C22" s="22"/>
      <c r="D22" s="22"/>
      <c r="E22" s="22"/>
      <c r="F22" s="22"/>
      <c r="G22" s="22"/>
    </row>
    <row r="23" spans="1:7" ht="15" customHeight="1" x14ac:dyDescent="0.3">
      <c r="A23" s="4" t="s">
        <v>106</v>
      </c>
      <c r="B23" s="5">
        <v>-156145803</v>
      </c>
      <c r="C23" s="5">
        <v>-139463576</v>
      </c>
      <c r="D23" s="5">
        <v>-699700000</v>
      </c>
      <c r="E23" s="5">
        <v>-700000000</v>
      </c>
      <c r="F23" s="5">
        <v>-800100000</v>
      </c>
      <c r="G23" s="10"/>
    </row>
    <row r="24" spans="1:7" ht="15" customHeight="1" x14ac:dyDescent="0.3">
      <c r="A24" s="6" t="s">
        <v>107</v>
      </c>
      <c r="B24" s="7">
        <v>0</v>
      </c>
      <c r="C24" s="23"/>
      <c r="D24" s="7">
        <v>-105184979</v>
      </c>
      <c r="E24" s="7">
        <v>0</v>
      </c>
      <c r="F24" s="7">
        <v>-192608865</v>
      </c>
      <c r="G24" s="23"/>
    </row>
    <row r="25" spans="1:7" ht="15" customHeight="1" x14ac:dyDescent="0.3">
      <c r="A25" s="4" t="s">
        <v>108</v>
      </c>
      <c r="B25" s="5">
        <v>159408661</v>
      </c>
      <c r="C25" s="10"/>
      <c r="D25" s="5">
        <v>1166800225</v>
      </c>
      <c r="E25" s="5">
        <v>802325677</v>
      </c>
      <c r="F25" s="5">
        <v>1565170723</v>
      </c>
      <c r="G25" s="10"/>
    </row>
    <row r="26" spans="1:7" ht="15" customHeight="1" x14ac:dyDescent="0.3">
      <c r="A26" s="6" t="s">
        <v>109</v>
      </c>
      <c r="B26" s="7">
        <v>-226159644</v>
      </c>
      <c r="C26" s="23"/>
      <c r="D26" s="7">
        <v>-936957728</v>
      </c>
      <c r="E26" s="7">
        <v>-193737275</v>
      </c>
      <c r="F26" s="7">
        <v>-450007937</v>
      </c>
      <c r="G26" s="23"/>
    </row>
    <row r="27" spans="1:7" ht="15" customHeight="1" x14ac:dyDescent="0.3">
      <c r="A27" s="8" t="s">
        <v>110</v>
      </c>
      <c r="B27" s="24">
        <v>-241733558</v>
      </c>
      <c r="C27" s="24">
        <v>-305369948</v>
      </c>
      <c r="D27" s="24">
        <v>-581967136</v>
      </c>
      <c r="E27" s="24">
        <v>-130568961</v>
      </c>
      <c r="F27" s="24">
        <v>63008118</v>
      </c>
      <c r="G27" s="24">
        <v>20671427</v>
      </c>
    </row>
    <row r="28" spans="1:7" s="17" customFormat="1" ht="15" customHeight="1" x14ac:dyDescent="0.3">
      <c r="A28" s="18" t="s">
        <v>111</v>
      </c>
      <c r="B28" s="22"/>
      <c r="C28" s="22"/>
      <c r="D28" s="22"/>
      <c r="E28" s="22"/>
      <c r="F28" s="22"/>
      <c r="G28" s="22"/>
    </row>
    <row r="29" spans="1:7" ht="15" customHeight="1" x14ac:dyDescent="0.3">
      <c r="A29" s="8" t="s">
        <v>112</v>
      </c>
      <c r="B29" s="24">
        <v>-375742613</v>
      </c>
      <c r="C29" s="24">
        <v>230995565</v>
      </c>
      <c r="D29" s="24">
        <v>399018906</v>
      </c>
      <c r="E29" s="24">
        <v>-808411827</v>
      </c>
      <c r="F29" s="24">
        <v>235416534</v>
      </c>
      <c r="G29" s="24">
        <v>534973834</v>
      </c>
    </row>
    <row r="30" spans="1:7" ht="15" customHeight="1" x14ac:dyDescent="0.3">
      <c r="A30" s="4" t="s">
        <v>113</v>
      </c>
      <c r="B30" s="5">
        <v>134631265</v>
      </c>
      <c r="C30" s="5">
        <v>-241111348</v>
      </c>
      <c r="D30" s="5">
        <v>-7275177</v>
      </c>
      <c r="E30" s="5">
        <v>413180334</v>
      </c>
      <c r="F30" s="5">
        <v>-290075683</v>
      </c>
      <c r="G30" s="5">
        <v>-54659149</v>
      </c>
    </row>
    <row r="31" spans="1:7" ht="15" customHeight="1" x14ac:dyDescent="0.3">
      <c r="A31" s="6" t="s">
        <v>114</v>
      </c>
      <c r="B31" s="7">
        <v>0</v>
      </c>
      <c r="C31" s="7">
        <v>2840606</v>
      </c>
      <c r="D31" s="7">
        <v>21436605</v>
      </c>
      <c r="E31" s="7">
        <v>105151363</v>
      </c>
      <c r="F31" s="7">
        <v>0</v>
      </c>
      <c r="G31" s="7">
        <v>0</v>
      </c>
    </row>
    <row r="32" spans="1:7" ht="15" customHeight="1" x14ac:dyDescent="0.3">
      <c r="A32" s="8" t="s">
        <v>115</v>
      </c>
      <c r="B32" s="24">
        <v>-241111348</v>
      </c>
      <c r="C32" s="24">
        <v>-7275177</v>
      </c>
      <c r="D32" s="24">
        <v>413180334</v>
      </c>
      <c r="E32" s="24">
        <v>-290080130</v>
      </c>
      <c r="F32" s="24">
        <v>-54659149</v>
      </c>
      <c r="G32" s="24">
        <v>480314685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7B34"/>
  </sheetPr>
  <dimension ref="A1:F22"/>
  <sheetViews>
    <sheetView showGridLines="0"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15" sqref="L15"/>
    </sheetView>
  </sheetViews>
  <sheetFormatPr defaultColWidth="8.6640625" defaultRowHeight="14.4" x14ac:dyDescent="0.3"/>
  <cols>
    <col min="1" max="1" width="34" customWidth="1"/>
    <col min="2" max="6" width="13.44140625" customWidth="1"/>
  </cols>
  <sheetData>
    <row r="1" spans="1:6" ht="24" customHeight="1" x14ac:dyDescent="0.3">
      <c r="A1" s="54" t="s">
        <v>143</v>
      </c>
      <c r="B1" s="54"/>
      <c r="C1" s="54"/>
      <c r="D1" s="54"/>
      <c r="E1" s="54"/>
      <c r="F1" s="54"/>
    </row>
    <row r="2" spans="1:6" ht="15" customHeight="1" x14ac:dyDescent="0.3">
      <c r="A2" s="55"/>
      <c r="B2" s="55"/>
      <c r="C2" s="55"/>
      <c r="D2" s="55"/>
      <c r="E2" s="55"/>
      <c r="F2" s="55"/>
    </row>
    <row r="4" spans="1:6" s="17" customFormat="1" ht="15" customHeight="1" x14ac:dyDescent="0.3">
      <c r="A4" s="1" t="s">
        <v>1</v>
      </c>
      <c r="B4" s="3" t="s">
        <v>5</v>
      </c>
      <c r="C4" s="3" t="s">
        <v>9</v>
      </c>
      <c r="D4" s="3" t="s">
        <v>13</v>
      </c>
      <c r="E4" s="3" t="s">
        <v>17</v>
      </c>
      <c r="F4" s="3" t="s">
        <v>21</v>
      </c>
    </row>
    <row r="5" spans="1:6" ht="15" customHeight="1" x14ac:dyDescent="0.3">
      <c r="A5" s="41" t="s">
        <v>144</v>
      </c>
      <c r="B5" s="42"/>
      <c r="C5" s="42"/>
      <c r="D5" s="42"/>
      <c r="E5" s="42"/>
      <c r="F5" s="42"/>
    </row>
    <row r="6" spans="1:6" ht="15" customHeight="1" x14ac:dyDescent="0.3">
      <c r="A6" s="4" t="s">
        <v>23</v>
      </c>
      <c r="B6" s="36">
        <f>'Income Statement'!E5</f>
        <v>5251215991</v>
      </c>
      <c r="C6" s="36">
        <f>'Income Statement'!I5</f>
        <v>7671100869</v>
      </c>
      <c r="D6" s="36">
        <f>'Income Statement'!M5</f>
        <v>12125997046</v>
      </c>
      <c r="E6" s="36">
        <f>'Income Statement'!Q5</f>
        <v>16146545699</v>
      </c>
      <c r="F6" s="36">
        <f>'Income Statement'!U5</f>
        <v>20915072432</v>
      </c>
    </row>
    <row r="7" spans="1:6" ht="15" customHeight="1" x14ac:dyDescent="0.3">
      <c r="A7" s="4" t="s">
        <v>25</v>
      </c>
      <c r="B7" s="36">
        <f>'Income Statement'!E7</f>
        <v>1673362472</v>
      </c>
      <c r="C7" s="36">
        <f>'Income Statement'!I7</f>
        <v>2607757782</v>
      </c>
      <c r="D7" s="36">
        <f>'Income Statement'!M7</f>
        <v>3925287329</v>
      </c>
      <c r="E7" s="36">
        <f>'Income Statement'!Q7</f>
        <v>4906312786</v>
      </c>
      <c r="F7" s="36">
        <f>'Income Statement'!U7</f>
        <v>7192057221</v>
      </c>
    </row>
    <row r="8" spans="1:6" ht="15" customHeight="1" x14ac:dyDescent="0.3">
      <c r="A8" s="4" t="s">
        <v>145</v>
      </c>
      <c r="B8" s="36">
        <f>'Income Statement'!E16</f>
        <v>634290716</v>
      </c>
      <c r="C8" s="36">
        <f>'Income Statement'!I16</f>
        <v>1270783958</v>
      </c>
      <c r="D8" s="36">
        <f>'Income Statement'!M16</f>
        <v>2050622094</v>
      </c>
      <c r="E8" s="36">
        <f>'Income Statement'!Q16</f>
        <v>1971704045</v>
      </c>
      <c r="F8" s="36">
        <f>'Income Statement'!U16</f>
        <v>3703837580</v>
      </c>
    </row>
    <row r="9" spans="1:6" ht="15" customHeight="1" x14ac:dyDescent="0.3">
      <c r="A9" s="8" t="s">
        <v>146</v>
      </c>
      <c r="B9" s="43">
        <f>'Income Statement'!E18</f>
        <v>471903603</v>
      </c>
      <c r="C9" s="43">
        <f>'Income Statement'!I18</f>
        <v>959432071</v>
      </c>
      <c r="D9" s="43">
        <f>'Income Statement'!M18</f>
        <v>1506575439</v>
      </c>
      <c r="E9" s="43">
        <f>'Income Statement'!Q18</f>
        <v>1415374273</v>
      </c>
      <c r="F9" s="43">
        <f>'Income Statement'!U18</f>
        <v>2695301670</v>
      </c>
    </row>
    <row r="11" spans="1:6" ht="15" customHeight="1" x14ac:dyDescent="0.3">
      <c r="A11" s="41" t="s">
        <v>147</v>
      </c>
      <c r="B11" s="42"/>
      <c r="C11" s="42"/>
      <c r="D11" s="42"/>
      <c r="E11" s="42"/>
      <c r="F11" s="42"/>
    </row>
    <row r="12" spans="1:6" ht="15" customHeight="1" x14ac:dyDescent="0.3">
      <c r="A12" s="15" t="s">
        <v>41</v>
      </c>
      <c r="B12" s="33">
        <f>'Financial Ratios'!E12</f>
        <v>0.31866190133255939</v>
      </c>
      <c r="C12" s="33">
        <f>'Financial Ratios'!I12</f>
        <v>0.33994570356105169</v>
      </c>
      <c r="D12" s="33">
        <f>'Financial Ratios'!M12</f>
        <v>0.3237084187064711</v>
      </c>
      <c r="E12" s="33">
        <f>'Financial Ratios'!Q12</f>
        <v>0.30386144983963109</v>
      </c>
      <c r="F12" s="33">
        <f>'Financial Ratios'!U12</f>
        <v>0.34386958230162157</v>
      </c>
    </row>
    <row r="13" spans="1:6" ht="15" customHeight="1" x14ac:dyDescent="0.3">
      <c r="A13" s="15" t="s">
        <v>43</v>
      </c>
      <c r="B13" s="33">
        <f>'Financial Ratios'!E14</f>
        <v>8.9865586144007456E-2</v>
      </c>
      <c r="C13" s="33">
        <f>'Financial Ratios'!I14</f>
        <v>0.12507097578095996</v>
      </c>
      <c r="D13" s="33">
        <f>'Financial Ratios'!M14</f>
        <v>0.1242434278422469</v>
      </c>
      <c r="E13" s="33">
        <f>'Financial Ratios'!Q14</f>
        <v>8.7658022922367726E-2</v>
      </c>
      <c r="F13" s="33">
        <f>'Financial Ratios'!U14</f>
        <v>0.12886886616162019</v>
      </c>
    </row>
    <row r="15" spans="1:6" ht="15" customHeight="1" x14ac:dyDescent="0.3">
      <c r="A15" s="41" t="s">
        <v>148</v>
      </c>
      <c r="B15" s="42"/>
      <c r="C15" s="42"/>
      <c r="D15" s="42"/>
      <c r="E15" s="42"/>
      <c r="F15" s="42"/>
    </row>
    <row r="16" spans="1:6" ht="15" customHeight="1" x14ac:dyDescent="0.3">
      <c r="A16" s="15" t="s">
        <v>149</v>
      </c>
      <c r="B16" s="33">
        <f>'Financial Ratios'!E38</f>
        <v>0</v>
      </c>
      <c r="C16" s="33">
        <f>'Financial Ratios'!I38</f>
        <v>0.46082371819163659</v>
      </c>
      <c r="D16" s="33">
        <f>'Financial Ratios'!M38</f>
        <v>0.58073753077643175</v>
      </c>
      <c r="E16" s="33">
        <f>'Financial Ratios'!Q38</f>
        <v>0.3315643767475811</v>
      </c>
      <c r="F16" s="33">
        <f>'Financial Ratios'!U38</f>
        <v>0.29532798047915154</v>
      </c>
    </row>
    <row r="17" spans="1:6" ht="15" customHeight="1" x14ac:dyDescent="0.3">
      <c r="A17" s="15" t="s">
        <v>150</v>
      </c>
      <c r="B17" s="33">
        <f>'Financial Ratios'!E39</f>
        <v>0</v>
      </c>
      <c r="C17" s="33">
        <f>'Financial Ratios'!I39</f>
        <v>1.0331102896877011</v>
      </c>
      <c r="D17" s="33">
        <f>'Financial Ratios'!M39</f>
        <v>0.57027838086517324</v>
      </c>
      <c r="E17" s="33">
        <f>'Financial Ratios'!Q39</f>
        <v>-6.0535412724194826E-2</v>
      </c>
      <c r="F17" s="33">
        <f>'Financial Ratios'!U39</f>
        <v>0.90430313834028553</v>
      </c>
    </row>
    <row r="19" spans="1:6" ht="15" customHeight="1" x14ac:dyDescent="0.3">
      <c r="A19" s="41" t="s">
        <v>151</v>
      </c>
      <c r="B19" s="42"/>
      <c r="C19" s="42"/>
      <c r="D19" s="42"/>
      <c r="E19" s="42"/>
      <c r="F19" s="42"/>
    </row>
    <row r="20" spans="1:6" ht="15" customHeight="1" x14ac:dyDescent="0.3">
      <c r="A20" s="4" t="s">
        <v>152</v>
      </c>
      <c r="B20" s="36">
        <f>'Cash Flow'!B13</f>
        <v>311854466</v>
      </c>
      <c r="C20" s="36">
        <f>'Cash Flow'!C13</f>
        <v>861536860</v>
      </c>
      <c r="D20" s="36">
        <f>'Cash Flow'!D13</f>
        <v>1049280113</v>
      </c>
      <c r="E20" s="36">
        <f>'Cash Flow'!E13</f>
        <v>854487748</v>
      </c>
      <c r="F20" s="36">
        <f>'Cash Flow'!F13</f>
        <v>4311415865</v>
      </c>
    </row>
    <row r="21" spans="1:6" ht="15" customHeight="1" x14ac:dyDescent="0.3">
      <c r="A21" s="4" t="s">
        <v>153</v>
      </c>
      <c r="B21" s="36">
        <f>'Financial Ratios'!E19</f>
        <v>1085337226</v>
      </c>
      <c r="C21" s="36">
        <f>'Financial Ratios'!I19</f>
        <v>1105790605</v>
      </c>
      <c r="D21" s="36">
        <f>'Financial Ratios'!M19</f>
        <v>1155298030</v>
      </c>
      <c r="E21" s="36">
        <f>'Financial Ratios'!Q19</f>
        <v>3181822264</v>
      </c>
      <c r="F21" s="36">
        <f>'Financial Ratios'!U19</f>
        <v>4284289091</v>
      </c>
    </row>
    <row r="22" spans="1:6" ht="15" customHeight="1" x14ac:dyDescent="0.3">
      <c r="A22" s="15" t="s">
        <v>131</v>
      </c>
      <c r="B22" s="29">
        <f>'Financial Ratios'!E21</f>
        <v>0.52685336330825672</v>
      </c>
      <c r="C22" s="29">
        <f>'Financial Ratios'!I21</f>
        <v>0.41536994381357828</v>
      </c>
      <c r="D22" s="29">
        <f>'Financial Ratios'!M21</f>
        <v>0.33950390735207797</v>
      </c>
      <c r="E22" s="29">
        <f>'Financial Ratios'!Q21</f>
        <v>0.79205342151404656</v>
      </c>
      <c r="F22" s="29">
        <f>'Financial Ratios'!U21</f>
        <v>0.70322794178335701</v>
      </c>
    </row>
  </sheetData>
  <mergeCells count="2">
    <mergeCell ref="A1:F1"/>
    <mergeCell ref="A2:F2"/>
  </mergeCells>
  <conditionalFormatting sqref="B16:F17">
    <cfRule type="cellIs" dxfId="1" priority="2" operator="lessThan">
      <formula>0</formula>
    </cfRule>
    <cfRule type="cellIs" dxfId="0" priority="3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Statement</vt:lpstr>
      <vt:lpstr>Balance Sheet</vt:lpstr>
      <vt:lpstr>Financial Ratios</vt:lpstr>
      <vt:lpstr>Cash Flow</vt:lpstr>
      <vt:lpstr>Annual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Dawod</cp:lastModifiedBy>
  <cp:revision>0</cp:revision>
  <dcterms:created xsi:type="dcterms:W3CDTF">2026-06-18T07:43:04Z</dcterms:created>
  <dcterms:modified xsi:type="dcterms:W3CDTF">2026-06-27T01:14:13Z</dcterms:modified>
  <dc:language>en-US</dc:language>
</cp:coreProperties>
</file>