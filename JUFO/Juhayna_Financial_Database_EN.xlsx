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MCG\JUFO\"/>
    </mc:Choice>
  </mc:AlternateContent>
  <xr:revisionPtr revIDLastSave="0" documentId="13_ncr:1_{921CCB07-5F86-44C6-81DD-4367D6A1153E}" xr6:coauthVersionLast="47" xr6:coauthVersionMax="47" xr10:uidLastSave="{00000000-0000-0000-0000-000000000000}"/>
  <bookViews>
    <workbookView xWindow="-108" yWindow="-108" windowWidth="23256" windowHeight="12456" firstSheet="2" activeTab="13" xr2:uid="{00000000-000D-0000-FFFF-FFFF00000000}"/>
  </bookViews>
  <sheets>
    <sheet name="Index" sheetId="1" r:id="rId1"/>
    <sheet name="Income Statement" sheetId="2" r:id="rId2"/>
    <sheet name="Quarterly Data" sheetId="3" r:id="rId3"/>
    <sheet name="Seasonality" sheetId="4" r:id="rId4"/>
    <sheet name="Balance Sheet" sheetId="5" r:id="rId5"/>
    <sheet name="Cash Flow" sheetId="6" r:id="rId6"/>
    <sheet name="Working Capital" sheetId="7" r:id="rId7"/>
    <sheet name="Revenue Breakdown" sheetId="8" r:id="rId8"/>
    <sheet name="Cost Breakdown" sheetId="9" r:id="rId9"/>
    <sheet name="FX Differences" sheetId="10" r:id="rId10"/>
    <sheet name="Leverage &amp; Returns" sheetId="11" r:id="rId11"/>
    <sheet name="Valuation" sheetId="12" r:id="rId12"/>
    <sheet name="2026 Forecast" sheetId="13" r:id="rId13"/>
    <sheet name="Management Commentar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1" l="1"/>
  <c r="F8" i="11"/>
  <c r="F6" i="2"/>
  <c r="B17" i="12" l="1"/>
  <c r="C10" i="13" l="1"/>
  <c r="E10" i="13" s="1"/>
  <c r="E9" i="13"/>
  <c r="C5" i="13"/>
  <c r="C4" i="13"/>
  <c r="C12" i="13" s="1"/>
  <c r="E12" i="13" s="1"/>
  <c r="C3" i="13"/>
  <c r="B13" i="12"/>
  <c r="B15" i="12" s="1"/>
  <c r="B18" i="12" s="1"/>
  <c r="B12" i="12"/>
  <c r="B14" i="12" s="1"/>
  <c r="B5" i="12"/>
  <c r="B7" i="12" s="1"/>
  <c r="B16" i="12" s="1"/>
  <c r="F17" i="11"/>
  <c r="E17" i="11"/>
  <c r="D17" i="11"/>
  <c r="C17" i="11"/>
  <c r="B17" i="11"/>
  <c r="F16" i="11"/>
  <c r="E16" i="11"/>
  <c r="D16" i="11"/>
  <c r="C16" i="11"/>
  <c r="B16" i="11"/>
  <c r="F15" i="11"/>
  <c r="F18" i="11" s="1"/>
  <c r="E15" i="11"/>
  <c r="E18" i="11" s="1"/>
  <c r="D15" i="11"/>
  <c r="D18" i="11" s="1"/>
  <c r="C15" i="11"/>
  <c r="C18" i="11" s="1"/>
  <c r="B15" i="11"/>
  <c r="B18" i="11" s="1"/>
  <c r="F14" i="11"/>
  <c r="E14" i="11"/>
  <c r="D14" i="11"/>
  <c r="B14" i="11"/>
  <c r="F11" i="11"/>
  <c r="E11" i="11"/>
  <c r="D11" i="11"/>
  <c r="C11" i="11"/>
  <c r="C14" i="11" s="1"/>
  <c r="B11" i="11"/>
  <c r="E8" i="11"/>
  <c r="D8" i="11"/>
  <c r="C8" i="11"/>
  <c r="B8" i="11"/>
  <c r="F22" i="11"/>
  <c r="E7" i="11"/>
  <c r="E22" i="11" s="1"/>
  <c r="F23" i="11" s="1"/>
  <c r="D7" i="11"/>
  <c r="D22" i="11" s="1"/>
  <c r="E23" i="11" s="1"/>
  <c r="C7" i="11"/>
  <c r="C22" i="11" s="1"/>
  <c r="D23" i="11" s="1"/>
  <c r="B7" i="11"/>
  <c r="B22" i="11" s="1"/>
  <c r="D10" i="10"/>
  <c r="C10" i="10"/>
  <c r="B10" i="10"/>
  <c r="E9" i="10"/>
  <c r="E10" i="10" s="1"/>
  <c r="D9" i="10"/>
  <c r="C9" i="10"/>
  <c r="B9" i="10"/>
  <c r="E5" i="10"/>
  <c r="D5" i="10"/>
  <c r="C5" i="10"/>
  <c r="B5" i="10"/>
  <c r="C6" i="9"/>
  <c r="B6" i="9"/>
  <c r="B8" i="8"/>
  <c r="F10" i="7"/>
  <c r="E10" i="7"/>
  <c r="D10" i="7"/>
  <c r="C10" i="7"/>
  <c r="B10" i="7"/>
  <c r="F9" i="7"/>
  <c r="E9" i="7"/>
  <c r="D9" i="7"/>
  <c r="C9" i="7"/>
  <c r="B9" i="7"/>
  <c r="F8" i="7"/>
  <c r="F11" i="7" s="1"/>
  <c r="E8" i="7"/>
  <c r="E11" i="7" s="1"/>
  <c r="D8" i="7"/>
  <c r="D11" i="7" s="1"/>
  <c r="C8" i="7"/>
  <c r="C11" i="7" s="1"/>
  <c r="B8" i="7"/>
  <c r="B11" i="7" s="1"/>
  <c r="F9" i="6"/>
  <c r="D9" i="6"/>
  <c r="C9" i="6"/>
  <c r="B9" i="6"/>
  <c r="F6" i="6"/>
  <c r="E6" i="6"/>
  <c r="E9" i="6" s="1"/>
  <c r="D6" i="6"/>
  <c r="C6" i="6"/>
  <c r="B6" i="6"/>
  <c r="F23" i="5"/>
  <c r="E23" i="5"/>
  <c r="D23" i="5"/>
  <c r="C23" i="5"/>
  <c r="B23" i="5"/>
  <c r="F13" i="5"/>
  <c r="F24" i="5" s="1"/>
  <c r="E13" i="5"/>
  <c r="E24" i="5" s="1"/>
  <c r="D13" i="5"/>
  <c r="D24" i="5" s="1"/>
  <c r="C13" i="5"/>
  <c r="C24" i="5" s="1"/>
  <c r="B13" i="5"/>
  <c r="B24" i="5" s="1"/>
  <c r="E8" i="4"/>
  <c r="D8" i="4"/>
  <c r="C8" i="4"/>
  <c r="B8" i="4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F23" i="2"/>
  <c r="E23" i="2"/>
  <c r="D23" i="2"/>
  <c r="C23" i="2"/>
  <c r="E6" i="2"/>
  <c r="F5" i="2"/>
  <c r="F12" i="2" s="1"/>
  <c r="E5" i="2"/>
  <c r="E12" i="2" s="1"/>
  <c r="D5" i="2"/>
  <c r="D6" i="2" s="1"/>
  <c r="C5" i="2"/>
  <c r="C6" i="2" s="1"/>
  <c r="B5" i="2"/>
  <c r="B6" i="2" s="1"/>
  <c r="F13" i="2" l="1"/>
  <c r="F17" i="2"/>
  <c r="F20" i="2" s="1"/>
  <c r="F21" i="2" s="1"/>
  <c r="E17" i="2"/>
  <c r="E20" i="2" s="1"/>
  <c r="E21" i="2" s="1"/>
  <c r="E13" i="2"/>
  <c r="C23" i="11"/>
  <c r="B23" i="11"/>
  <c r="C12" i="2"/>
  <c r="B12" i="2"/>
  <c r="D12" i="2"/>
  <c r="C11" i="13"/>
  <c r="D17" i="2" l="1"/>
  <c r="D20" i="2" s="1"/>
  <c r="D21" i="2" s="1"/>
  <c r="D13" i="2"/>
  <c r="C13" i="13"/>
  <c r="E11" i="13"/>
  <c r="E13" i="13" s="1"/>
  <c r="C17" i="2"/>
  <c r="C20" i="2" s="1"/>
  <c r="C21" i="2" s="1"/>
  <c r="C13" i="2"/>
  <c r="B17" i="2"/>
  <c r="B20" i="2" s="1"/>
  <c r="B21" i="2" s="1"/>
  <c r="B13" i="2"/>
</calcChain>
</file>

<file path=xl/sharedStrings.xml><?xml version="1.0" encoding="utf-8"?>
<sst xmlns="http://schemas.openxmlformats.org/spreadsheetml/2006/main" count="353" uniqueCount="285">
  <si>
    <t>Juhayna (JUFO) — Full Database &amp; Analysis · 2021 → Q1 2026</t>
  </si>
  <si>
    <t>1. Income Statement</t>
  </si>
  <si>
    <t>Full annual in EGP + margins (formulas) + source column</t>
  </si>
  <si>
    <t>2. Quarterly Data</t>
  </si>
  <si>
    <t>21 quarters: revenue/gross/EBITDA/net + margins by formula</t>
  </si>
  <si>
    <t>3. Seasonality</t>
  </si>
  <si>
    <t>Margin matrix by quarter + Ramadan-quarter column</t>
  </si>
  <si>
    <t>4. Balance Sheet</t>
  </si>
  <si>
    <t>Full balance sheet — totals are formulas, balance checked</t>
  </si>
  <si>
    <t>5. Cash Flow</t>
  </si>
  <si>
    <t>Operating/investing/financing + cash reconciliation formula</t>
  </si>
  <si>
    <t>6. Working Capital</t>
  </si>
  <si>
    <t>DIO/DSO/DPO/CCC formulas — real payables 2021-2024</t>
  </si>
  <si>
    <t>7. Revenue Breakdown</t>
  </si>
  <si>
    <t>Segments + domestic/export + growth drivers</t>
  </si>
  <si>
    <t>8. Cost Breakdown</t>
  </si>
  <si>
    <t>Note 4 (COGS components) + Note 17 (inventory)</t>
  </si>
  <si>
    <t>9. FX Differences</t>
  </si>
  <si>
    <t>Shown/shifted + reported vs adjusted profit (formulas)</t>
  </si>
  <si>
    <t>10. Leverage &amp; Returns</t>
  </si>
  <si>
    <t>Net debt, coverage, ROE/DuPont/ROIC — all formulas</t>
  </si>
  <si>
    <t>11. Valuation</t>
  </si>
  <si>
    <t>Price is a blue cell → all multiples update automatically</t>
  </si>
  <si>
    <t>12. 2026 Forecast</t>
  </si>
  <si>
    <t>Scenarios + quarterly split anchored to actual Q1</t>
  </si>
  <si>
    <t>13. Management Commentary</t>
  </si>
  <si>
    <t>Documented findings from business results</t>
  </si>
  <si>
    <t>Consolidated Income Statement (EGP)</t>
  </si>
  <si>
    <t>Line item (EGP)</t>
  </si>
  <si>
    <t>2021</t>
  </si>
  <si>
    <t>2022</t>
  </si>
  <si>
    <t>2023</t>
  </si>
  <si>
    <t>2024</t>
  </si>
  <si>
    <t>2025</t>
  </si>
  <si>
    <t>Source</t>
  </si>
  <si>
    <t>Net revenue</t>
  </si>
  <si>
    <t>Audited consolidated</t>
  </si>
  <si>
    <t>Cost of sales</t>
  </si>
  <si>
    <t>Income statement</t>
  </si>
  <si>
    <t>Gross profit</t>
  </si>
  <si>
    <t>Revenue + cost</t>
  </si>
  <si>
    <t>Gross margin %</t>
  </si>
  <si>
    <t>Gross / revenue</t>
  </si>
  <si>
    <t>Other operating income</t>
  </si>
  <si>
    <t>Selling &amp; marketing</t>
  </si>
  <si>
    <t>General &amp; admin</t>
  </si>
  <si>
    <t>Impairment / provision</t>
  </si>
  <si>
    <t>Other expenses / credit losses</t>
  </si>
  <si>
    <t>Operating result</t>
  </si>
  <si>
    <t>Sum of items above</t>
  </si>
  <si>
    <t>Operating margin %</t>
  </si>
  <si>
    <t>Operating / revenue</t>
  </si>
  <si>
    <t>Share of equity-method cos.</t>
  </si>
  <si>
    <t>Net financing cost</t>
  </si>
  <si>
    <t>Note 9</t>
  </si>
  <si>
    <t>Loss on sale of investment</t>
  </si>
  <si>
    <t>Profit before tax</t>
  </si>
  <si>
    <t>Formula</t>
  </si>
  <si>
    <t>Income tax</t>
  </si>
  <si>
    <t>Tax true-up / deferred</t>
  </si>
  <si>
    <t>To match reported EPS</t>
  </si>
  <si>
    <t>Net profit after tax</t>
  </si>
  <si>
    <t>Net margin %</t>
  </si>
  <si>
    <t>Net / revenue</t>
  </si>
  <si>
    <t>EBITDA (mn)</t>
  </si>
  <si>
    <t>Business results</t>
  </si>
  <si>
    <t>Revenue growth %</t>
  </si>
  <si>
    <t>—</t>
  </si>
  <si>
    <t>Year / prior − 1</t>
  </si>
  <si>
    <t>⚠ 2024-2025: FX losses (344.8mn / 348mn) shifted to OCI under EAS 13 — profit here is "reported"; the adjusted figure is on the FX sheet. 2025 is the first year after consolidating 4 subsidiaries.</t>
  </si>
  <si>
    <t>Quarterly Data (EGP mn) — 21 quarters</t>
  </si>
  <si>
    <t>Metric (EGP)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</si>
  <si>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</si>
  <si>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</si>
  <si>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</si>
  <si>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</si>
  <si>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</si>
  <si>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</si>
  <si>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</si>
  <si>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</si>
  <si>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</si>
  <si>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</si>
  <si>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</si>
  <si>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</si>
  <si>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</si>
  <si>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</si>
  <si>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</si>
  <si>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</si>
  <si>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</si>
  <si>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</si>
  <si>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</si>
  <si>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</si>
  <si>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EBITDA</t>
  </si>
  <si>
    <t>EBITDA margin %</t>
  </si>
  <si>
    <t>Net profit</t>
  </si>
  <si>
    <t>⚠ 2025 figures from business results (partly include consolidation effect). EBITDA 2021-2024 from business results — source not consistent across years; rebuild from statements for precise comparison.</t>
  </si>
  <si>
    <t>Seasonality — gross margin by quarter + Ramadan quarter</t>
  </si>
  <si>
    <t>Year</t>
  </si>
  <si>
    <t>Q1</t>
  </si>
  <si>
    <t>Q2</t>
  </si>
  <si>
    <t>Q3</t>
  </si>
  <si>
    <t>Q4</t>
  </si>
  <si>
    <t>Ramadan quarter</t>
  </si>
  <si>
    <t>Highest = Ramadan?</t>
  </si>
  <si>
    <t>Yes</t>
  </si>
  <si>
    <t>No — see note</t>
  </si>
  <si>
    <t>Quarter average</t>
  </si>
  <si>
    <t>⚠ The highest annual margin sits in the quarter containing Ramadan (4/5 years). Ramadan 2026 fell entirely in Q1 → Q2 2026 will be weaker on margin. 2025 broke the pattern only because Ramadan coincided with a sharp devaluation shock.</t>
  </si>
  <si>
    <t>Statement of Financial Position (EGP)</t>
  </si>
  <si>
    <t>Item (EGP)</t>
  </si>
  <si>
    <t>Non-current assets</t>
  </si>
  <si>
    <t>Property, plant &amp; equipment</t>
  </si>
  <si>
    <t>Projects under construction</t>
  </si>
  <si>
    <t>Plant wealth</t>
  </si>
  <si>
    <t>Biological assets</t>
  </si>
  <si>
    <t>Equity investments</t>
  </si>
  <si>
    <t>Investment at amortised cost (LT)</t>
  </si>
  <si>
    <t>Right-of-use assets</t>
  </si>
  <si>
    <t>Goodwill</t>
  </si>
  <si>
    <t>Other non-current assets</t>
  </si>
  <si>
    <t>Total non-current assets</t>
  </si>
  <si>
    <t>Current assets</t>
  </si>
  <si>
    <t>Inventory</t>
  </si>
  <si>
    <t>Trade &amp; other receivables</t>
  </si>
  <si>
    <t>Current biological assets</t>
  </si>
  <si>
    <t>Assets held for sale</t>
  </si>
  <si>
    <t>Due from related parties</t>
  </si>
  <si>
    <t>Other current assets</t>
  </si>
  <si>
    <t>Investment at amortised cost (ST)</t>
  </si>
  <si>
    <t>Cash &amp; cash equivalents</t>
  </si>
  <si>
    <t>Total current assets</t>
  </si>
  <si>
    <t>TOTAL ASSETS</t>
  </si>
  <si>
    <t>Statement of Cash Flows (EGP)</t>
  </si>
  <si>
    <t>Net operating cash flow</t>
  </si>
  <si>
    <t>Net investing cash flow</t>
  </si>
  <si>
    <t>Net financing cash flow</t>
  </si>
  <si>
    <t>Net change in cash</t>
  </si>
  <si>
    <t>FX effect on cash</t>
  </si>
  <si>
    <t>Cash at beginning</t>
  </si>
  <si>
    <t>Cash at end (computed)</t>
  </si>
  <si>
    <t>Cash per balance sheet (check)</t>
  </si>
  <si>
    <t>⚠ 2024 operating CF as in the 2024 statements (2,274.8mn); restated to 2,123.3mn in the 2025 comparatives after consolidation.</t>
  </si>
  <si>
    <t>Working Capital — Cash Conversion Cycle</t>
  </si>
  <si>
    <t>Item</t>
  </si>
  <si>
    <t>Cost of sales (positive)</t>
  </si>
  <si>
    <t>Receivables</t>
  </si>
  <si>
    <t>Payables (real 21-24, est 25)</t>
  </si>
  <si>
    <t>Days inventory (DIO)</t>
  </si>
  <si>
    <t>Days sales (DSO)</t>
  </si>
  <si>
    <t>Days payable (DPO)</t>
  </si>
  <si>
    <t>Cash conversion cycle (CCC)</t>
  </si>
  <si>
    <t>Revenue Breakdown 2023 — segments &amp; exports</t>
  </si>
  <si>
    <t>Segment</t>
  </si>
  <si>
    <t>Revenue (EGP mn)</t>
  </si>
  <si>
    <t>Weight %</t>
  </si>
  <si>
    <t>Growth %</t>
  </si>
  <si>
    <t>Dairy</t>
  </si>
  <si>
    <t>Chilled / yoghurt</t>
  </si>
  <si>
    <t>Juice</t>
  </si>
  <si>
    <t>Concentrates</t>
  </si>
  <si>
    <t>Third-party distribution</t>
  </si>
  <si>
    <t>Total</t>
  </si>
  <si>
    <t>Domestic vs export (2023 → 2025)</t>
  </si>
  <si>
    <t>Export revenue (EGP)</t>
  </si>
  <si>
    <t>~1.2 bn</t>
  </si>
  <si>
    <t>2.2 bn</t>
  </si>
  <si>
    <t>Export share</t>
  </si>
  <si>
    <t>~7%</t>
  </si>
  <si>
    <t>~7.3%</t>
  </si>
  <si>
    <t>In USD</t>
  </si>
  <si>
    <t>~38 mn $</t>
  </si>
  <si>
    <t>46 mn $</t>
  </si>
  <si>
    <t>Cost Breakdown — Note 4 &amp; Note 17 (EGP)</t>
  </si>
  <si>
    <t>Cost component (Note 4)</t>
  </si>
  <si>
    <t>2023 weight</t>
  </si>
  <si>
    <t>Raw materials, packaging &amp; other</t>
  </si>
  <si>
    <t>Change in finished goods</t>
  </si>
  <si>
    <t>Depreciation</t>
  </si>
  <si>
    <t>Total cost of sales</t>
  </si>
  <si>
    <t>Inventory composition (Note 17)</t>
  </si>
  <si>
    <t>Growth</t>
  </si>
  <si>
    <t>Raw materials</t>
  </si>
  <si>
    <t>Packaging</t>
  </si>
  <si>
    <t>Finished goods</t>
  </si>
  <si>
    <t>Supplies</t>
  </si>
  <si>
    <t>Goods in transit (L/C)</t>
  </si>
  <si>
    <t>⚠ 95.6% of cost is materials &amp; packaging (no cushion to absorb shocks). Goods in transit +478% = stockpiling of dollar imports in 2023.</t>
  </si>
  <si>
    <t>FX Differences — Reported vs Adjusted</t>
  </si>
  <si>
    <t>Location</t>
  </si>
  <si>
    <t>FX loss in income statement</t>
  </si>
  <si>
    <t>Financing line — visible</t>
  </si>
  <si>
    <t>Loss shifted to OCI (EAS 13)</t>
  </si>
  <si>
    <t>OCI — outside the income statement</t>
  </si>
  <si>
    <t>Total real FX losses</t>
  </si>
  <si>
    <t>Reported net profit</t>
  </si>
  <si>
    <t>EAS 13 adjustment</t>
  </si>
  <si>
    <t>Adjusted (true) net profit</t>
  </si>
  <si>
    <t>Adjustment impact %</t>
  </si>
  <si>
    <t>⚠ 2024 EPS: reported 2.91 → adjusted 2.54. Management confirmed H1 2025 included 522mn of FX (adjusted gross margin 28.7%).</t>
  </si>
  <si>
    <t>Financial Leverage &amp; Returns — DuPont &amp; ROIC</t>
  </si>
  <si>
    <t>Total liabilities</t>
  </si>
  <si>
    <t>Cash</t>
  </si>
  <si>
    <t>Total equity</t>
  </si>
  <si>
    <t>Total assets</t>
  </si>
  <si>
    <t>Net debt</t>
  </si>
  <si>
    <t>Net debt / equity</t>
  </si>
  <si>
    <t>Adjusted net profit</t>
  </si>
  <si>
    <t>Avg equity</t>
  </si>
  <si>
    <t>Avg assets</t>
  </si>
  <si>
    <t>Adjusted ROE</t>
  </si>
  <si>
    <t>Reported net margin</t>
  </si>
  <si>
    <t>Asset turnover</t>
  </si>
  <si>
    <t>Leverage (assets/equity)</t>
  </si>
  <si>
    <t>DuPont check (=ROE)</t>
  </si>
  <si>
    <t>Interest coverage</t>
  </si>
  <si>
    <t>Gross→operating conversion</t>
  </si>
  <si>
    <t>NOPAT (operating×0.75)</t>
  </si>
  <si>
    <t>Invested capital (eq+net debt)</t>
  </si>
  <si>
    <t>ROIC</t>
  </si>
  <si>
    <t>⚠ Returns look strong, but in 2025 margin and turnover fell while leverage alone rose — return increasingly comes from borrowing, not operations. Interest coverage collapsed 12.2x → 3.1x.</t>
  </si>
  <si>
    <t>Valuation</t>
  </si>
  <si>
    <t>Value</t>
  </si>
  <si>
    <t>Share price (EGP) — edit here</t>
  </si>
  <si>
    <t>Shares outstanding</t>
  </si>
  <si>
    <t>Market capitalisation</t>
  </si>
  <si>
    <t>Net debt 2025</t>
  </si>
  <si>
    <t>Enterprise value (EV)</t>
  </si>
  <si>
    <t>Reported net profit 2025</t>
  </si>
  <si>
    <t>Adjusted net profit 2025</t>
  </si>
  <si>
    <t>Business-results profit 2025</t>
  </si>
  <si>
    <t>EBITDA 2025</t>
  </si>
  <si>
    <t>EPS reported</t>
  </si>
  <si>
    <t>EPS adjusted</t>
  </si>
  <si>
    <t>P/E reported</t>
  </si>
  <si>
    <t>P/E adjusted (the key one)</t>
  </si>
  <si>
    <t>EV/EBITDA</t>
  </si>
  <si>
    <t>Earnings yield (adjusted)</t>
  </si>
  <si>
    <t>2026 Forecast — full year</t>
  </si>
  <si>
    <t>Scenario</t>
  </si>
  <si>
    <t>2026 revenue (mn)</t>
  </si>
  <si>
    <t>Conservative</t>
  </si>
  <si>
    <t>Base</t>
  </si>
  <si>
    <t>Optimistic</t>
  </si>
  <si>
    <t>Quarterly split (base scenario)</t>
  </si>
  <si>
    <t>Quarter</t>
  </si>
  <si>
    <t>Share</t>
  </si>
  <si>
    <t>Revenue (mn)</t>
  </si>
  <si>
    <t>Expected margin</t>
  </si>
  <si>
    <t>Q1 2026 (actual)</t>
  </si>
  <si>
    <t>Q2 2026</t>
  </si>
  <si>
    <t>Q3 2026</t>
  </si>
  <si>
    <t>Q4 2026</t>
  </si>
  <si>
    <t>Total 2026</t>
  </si>
  <si>
    <t>⚠ Ramadan 2026 fell entirely in Q1, so Q1 carries the highest margin and later quarters are weaker — a forecast built on the confirmed pattern.</t>
  </si>
  <si>
    <t>Management Commentary — documented findings</t>
  </si>
  <si>
    <t>Topic</t>
  </si>
  <si>
    <t>What was said</t>
  </si>
  <si>
    <t>Implication</t>
  </si>
  <si>
    <t>The 2024 jump</t>
  </si>
  <si>
    <t>Global orange-concentrate prices hit records in 2024 and fell in 2025</t>
  </si>
  <si>
    <t>Temporary, unsustainable — explains +200% then −56% in concentrates</t>
  </si>
  <si>
    <t>Turning point Q4-25</t>
  </si>
  <si>
    <t>Profit +115% and EBITDA +87% after the concentrate base faded</t>
  </si>
  <si>
    <t>Final confirmation that 2024 was exceptional</t>
  </si>
  <si>
    <t>Formal normalisation</t>
  </si>
  <si>
    <t>Adjusted FY24: 28.3% margin vs 30.4% and ~2,386mn profit</t>
  </si>
  <si>
    <t>Management itself confirms the EAS 13 adjustment</t>
  </si>
  <si>
    <t>Geographic expansion</t>
  </si>
  <si>
    <t>48 countries + Al-Rashed partnership in Saudi Arabia</t>
  </si>
  <si>
    <t>Start of a natural hedge</t>
  </si>
  <si>
    <t>New products</t>
  </si>
  <si>
    <t>Pudding (late 2024) in three flavours</t>
  </si>
  <si>
    <t>Innovation drives volumes</t>
  </si>
  <si>
    <t>Ramadan</t>
  </si>
  <si>
    <t>Demand surge on products during Ramadan</t>
  </si>
  <si>
    <t>Supports the discovered seasonality pattern</t>
  </si>
  <si>
    <t>Merger Feb 2025</t>
  </si>
  <si>
    <t>March alone added 1.2bn gross profit to retained earnings</t>
  </si>
  <si>
    <t>Explains the gap between business results and statements</t>
  </si>
  <si>
    <t>Bekhero</t>
  </si>
  <si>
    <t>Value brand 37% of dairy</t>
  </si>
  <si>
    <t>Evidence of consumers trading down</t>
  </si>
  <si>
    <t>P/S (Price/Sales)</t>
  </si>
  <si>
    <t>⚠ 2025 payables estimate (~2,800mn) pending the consolidated statement . DIO rose 51→92 days (defensive stockpiling).</t>
  </si>
  <si>
    <t>⚠ Adjustment changes the decision: 13.3x on business-results profit, 18.1x on reported, but 22.1x on adjusted — dearer than it first 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</si>
</sst>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&quot;x&quot;"/>
    <numFmt numFmtId="167" formatCode="0.00&quot;x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10"/>
      <color rgb="FF1F4E79"/>
      <name val="Calibri"/>
    </font>
    <font>
      <i/>
      <sz val="9"/>
      <color rgb="FF808080"/>
      <name val="Calibri"/>
    </font>
    <font>
      <i/>
      <sz val="9"/>
      <color rgb="FF7A6000"/>
      <name val="Calibri"/>
    </font>
    <font>
      <b/>
      <sz val="10"/>
      <color rgb="FFA8524A"/>
      <name val="Calibri"/>
    </font>
    <font>
      <b/>
      <sz val="10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3A4A"/>
      </patternFill>
    </fill>
    <fill>
      <patternFill patternType="solid">
        <fgColor rgb="FF5B7089"/>
      </patternFill>
    </fill>
    <fill>
      <patternFill patternType="solid">
        <fgColor rgb="FFFFF7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6" fillId="0" borderId="0" xfId="0" applyFont="1"/>
    <xf numFmtId="3" fontId="2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0" fontId="8" fillId="0" borderId="0" xfId="0" applyFont="1"/>
    <xf numFmtId="0" fontId="4" fillId="3" borderId="0" xfId="0" applyFont="1" applyFill="1"/>
    <xf numFmtId="0" fontId="0" fillId="3" borderId="0" xfId="0" applyFill="1"/>
    <xf numFmtId="165" fontId="3" fillId="0" borderId="0" xfId="0" applyNumberFormat="1" applyFont="1"/>
    <xf numFmtId="165" fontId="2" fillId="0" borderId="0" xfId="0" applyNumberFormat="1" applyFont="1"/>
    <xf numFmtId="0" fontId="5" fillId="0" borderId="0" xfId="0" applyFont="1"/>
    <xf numFmtId="164" fontId="2" fillId="0" borderId="0" xfId="0" applyNumberFormat="1" applyFont="1"/>
    <xf numFmtId="166" fontId="3" fillId="0" borderId="0" xfId="0" applyNumberFormat="1" applyFont="1"/>
    <xf numFmtId="166" fontId="5" fillId="0" borderId="0" xfId="0" applyNumberFormat="1" applyFont="1"/>
    <xf numFmtId="3" fontId="3" fillId="0" borderId="0" xfId="0" applyNumberFormat="1" applyFont="1"/>
    <xf numFmtId="4" fontId="9" fillId="0" borderId="0" xfId="0" applyNumberFormat="1" applyFont="1"/>
    <xf numFmtId="3" fontId="9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7" fontId="2" fillId="0" borderId="0" xfId="0" applyNumberFormat="1" applyFont="1"/>
    <xf numFmtId="0" fontId="7" fillId="4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66156-D460-445D-814D-600C66EE69C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95a3cc3-747e-49d6-a219-760445442b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workbookViewId="0">
      <pane ySplit="2" topLeftCell="A3" activePane="bottomLeft" state="frozen"/>
      <selection pane="bottomLeft" activeCell="B12" sqref="B12"/>
    </sheetView>
  </sheetViews>
  <sheetFormatPr defaultRowHeight="14.4" x14ac:dyDescent="0.3"/>
  <cols>
    <col min="1" max="1" width="26" customWidth="1"/>
    <col min="2" max="2" width="68" customWidth="1"/>
  </cols>
  <sheetData>
    <row r="1" spans="1:7" ht="24" customHeight="1" x14ac:dyDescent="0.3">
      <c r="A1" s="28" t="s">
        <v>0</v>
      </c>
      <c r="B1" s="27"/>
      <c r="C1" s="27"/>
      <c r="D1" s="27"/>
      <c r="E1" s="27"/>
      <c r="F1" s="27"/>
      <c r="G1" s="27"/>
    </row>
    <row r="3" spans="1:7" x14ac:dyDescent="0.3">
      <c r="A3" s="1" t="s">
        <v>1</v>
      </c>
      <c r="B3" s="2" t="s">
        <v>2</v>
      </c>
    </row>
    <row r="4" spans="1:7" x14ac:dyDescent="0.3">
      <c r="A4" s="1" t="s">
        <v>3</v>
      </c>
      <c r="B4" s="2" t="s">
        <v>4</v>
      </c>
    </row>
    <row r="5" spans="1:7" x14ac:dyDescent="0.3">
      <c r="A5" s="1" t="s">
        <v>5</v>
      </c>
      <c r="B5" s="2" t="s">
        <v>6</v>
      </c>
    </row>
    <row r="6" spans="1:7" x14ac:dyDescent="0.3">
      <c r="A6" s="1" t="s">
        <v>7</v>
      </c>
      <c r="B6" s="2" t="s">
        <v>8</v>
      </c>
    </row>
    <row r="7" spans="1:7" x14ac:dyDescent="0.3">
      <c r="A7" s="1" t="s">
        <v>9</v>
      </c>
      <c r="B7" s="2" t="s">
        <v>10</v>
      </c>
    </row>
    <row r="8" spans="1:7" x14ac:dyDescent="0.3">
      <c r="A8" s="1" t="s">
        <v>11</v>
      </c>
      <c r="B8" s="2" t="s">
        <v>12</v>
      </c>
    </row>
    <row r="9" spans="1:7" x14ac:dyDescent="0.3">
      <c r="A9" s="1" t="s">
        <v>13</v>
      </c>
      <c r="B9" s="2" t="s">
        <v>14</v>
      </c>
    </row>
    <row r="10" spans="1:7" x14ac:dyDescent="0.3">
      <c r="A10" s="1" t="s">
        <v>15</v>
      </c>
      <c r="B10" s="2" t="s">
        <v>16</v>
      </c>
    </row>
    <row r="11" spans="1:7" x14ac:dyDescent="0.3">
      <c r="A11" s="1" t="s">
        <v>17</v>
      </c>
      <c r="B11" s="2" t="s">
        <v>18</v>
      </c>
    </row>
    <row r="12" spans="1:7" x14ac:dyDescent="0.3">
      <c r="A12" s="1" t="s">
        <v>19</v>
      </c>
      <c r="B12" s="2" t="s">
        <v>20</v>
      </c>
    </row>
    <row r="13" spans="1:7" x14ac:dyDescent="0.3">
      <c r="A13" s="1" t="s">
        <v>21</v>
      </c>
      <c r="B13" s="2" t="s">
        <v>22</v>
      </c>
    </row>
    <row r="14" spans="1:7" x14ac:dyDescent="0.3">
      <c r="A14" s="1" t="s">
        <v>23</v>
      </c>
      <c r="B14" s="2" t="s">
        <v>24</v>
      </c>
    </row>
    <row r="15" spans="1:7" x14ac:dyDescent="0.3">
      <c r="A15" s="1" t="s">
        <v>25</v>
      </c>
      <c r="B15" s="2" t="s">
        <v>26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workbookViewId="0">
      <pane ySplit="2" topLeftCell="A3" activePane="bottomLeft" state="frozen"/>
      <selection pane="bottomLeft" activeCell="B21" sqref="A21:XFD21"/>
    </sheetView>
  </sheetViews>
  <sheetFormatPr defaultRowHeight="14.4" x14ac:dyDescent="0.3"/>
  <cols>
    <col min="1" max="1" width="30" customWidth="1"/>
    <col min="2" max="6" width="15" customWidth="1"/>
    <col min="7" max="7" width="24" customWidth="1"/>
  </cols>
  <sheetData>
    <row r="1" spans="1:7" ht="24" customHeight="1" x14ac:dyDescent="0.3">
      <c r="A1" s="28" t="s">
        <v>27</v>
      </c>
      <c r="B1" s="27"/>
      <c r="C1" s="27"/>
      <c r="D1" s="27"/>
      <c r="E1" s="27"/>
      <c r="F1" s="27"/>
      <c r="G1" s="27"/>
    </row>
    <row r="2" spans="1:7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</row>
    <row r="3" spans="1:7" x14ac:dyDescent="0.3">
      <c r="A3" s="2" t="s">
        <v>35</v>
      </c>
      <c r="B3" s="4">
        <v>8805974252</v>
      </c>
      <c r="C3" s="4">
        <v>11363960170</v>
      </c>
      <c r="D3" s="4">
        <v>16128101761</v>
      </c>
      <c r="E3" s="4">
        <v>24302616048</v>
      </c>
      <c r="F3" s="4">
        <v>29984446222</v>
      </c>
      <c r="G3" s="5" t="s">
        <v>36</v>
      </c>
    </row>
    <row r="4" spans="1:7" x14ac:dyDescent="0.3">
      <c r="A4" s="2" t="s">
        <v>37</v>
      </c>
      <c r="B4" s="4">
        <v>-6278903539</v>
      </c>
      <c r="C4" s="4">
        <v>-8458554544</v>
      </c>
      <c r="D4" s="4">
        <v>-11906411622</v>
      </c>
      <c r="E4" s="4">
        <v>-16912916624</v>
      </c>
      <c r="F4" s="4">
        <v>-23103562055</v>
      </c>
      <c r="G4" s="5" t="s">
        <v>38</v>
      </c>
    </row>
    <row r="5" spans="1:7" x14ac:dyDescent="0.3">
      <c r="A5" s="1" t="s">
        <v>39</v>
      </c>
      <c r="B5" s="6">
        <f>B3+B4</f>
        <v>2527070713</v>
      </c>
      <c r="C5" s="6">
        <f>C3+C4</f>
        <v>2905405626</v>
      </c>
      <c r="D5" s="6">
        <f>D3+D4</f>
        <v>4221690139</v>
      </c>
      <c r="E5" s="6">
        <f>E3+E4</f>
        <v>7389699424</v>
      </c>
      <c r="F5" s="6">
        <f>F3+F4</f>
        <v>6880884167</v>
      </c>
      <c r="G5" s="5" t="s">
        <v>40</v>
      </c>
    </row>
    <row r="6" spans="1:7" x14ac:dyDescent="0.3">
      <c r="A6" s="1" t="s">
        <v>41</v>
      </c>
      <c r="B6" s="7">
        <f>B5/B3</f>
        <v>0.28697230319814476</v>
      </c>
      <c r="C6" s="7">
        <f>C5/C3</f>
        <v>0.25566840982688871</v>
      </c>
      <c r="D6" s="7">
        <f>D5/D3</f>
        <v>0.26175988976015985</v>
      </c>
      <c r="E6" s="7">
        <f>E5/E3</f>
        <v>0.30407012189159532</v>
      </c>
      <c r="F6" s="7">
        <f>F5/F3</f>
        <v>0.22948178252334708</v>
      </c>
      <c r="G6" s="5" t="s">
        <v>42</v>
      </c>
    </row>
    <row r="7" spans="1:7" x14ac:dyDescent="0.3">
      <c r="A7" s="2" t="s">
        <v>43</v>
      </c>
      <c r="B7" s="4">
        <v>41548292</v>
      </c>
      <c r="C7" s="4">
        <v>122415644</v>
      </c>
      <c r="D7" s="4">
        <v>178863933</v>
      </c>
      <c r="E7" s="4">
        <v>332938371</v>
      </c>
      <c r="F7" s="4">
        <v>325638100</v>
      </c>
      <c r="G7" s="5" t="s">
        <v>38</v>
      </c>
    </row>
    <row r="8" spans="1:7" x14ac:dyDescent="0.3">
      <c r="A8" s="2" t="s">
        <v>44</v>
      </c>
      <c r="B8" s="4">
        <v>-1340271251</v>
      </c>
      <c r="C8" s="4">
        <v>-1544969079</v>
      </c>
      <c r="D8" s="4">
        <v>-1933987009</v>
      </c>
      <c r="E8" s="4">
        <v>-2159669231</v>
      </c>
      <c r="F8" s="4">
        <v>-2736787707</v>
      </c>
      <c r="G8" s="5" t="s">
        <v>38</v>
      </c>
    </row>
    <row r="9" spans="1:7" x14ac:dyDescent="0.3">
      <c r="A9" s="2" t="s">
        <v>45</v>
      </c>
      <c r="B9" s="4">
        <v>-272283318</v>
      </c>
      <c r="C9" s="4">
        <v>-286403392</v>
      </c>
      <c r="D9" s="4">
        <v>-388147620</v>
      </c>
      <c r="E9" s="4">
        <v>-659201157</v>
      </c>
      <c r="F9" s="4">
        <v>-831126207</v>
      </c>
      <c r="G9" s="5" t="s">
        <v>38</v>
      </c>
    </row>
    <row r="10" spans="1:7" x14ac:dyDescent="0.3">
      <c r="A10" s="2" t="s">
        <v>46</v>
      </c>
      <c r="B10" s="4">
        <v>0</v>
      </c>
      <c r="C10" s="4">
        <v>0</v>
      </c>
      <c r="D10" s="4">
        <v>5971372</v>
      </c>
      <c r="E10" s="4">
        <v>0</v>
      </c>
      <c r="F10" s="4">
        <v>0</v>
      </c>
      <c r="G10" s="5" t="s">
        <v>38</v>
      </c>
    </row>
    <row r="11" spans="1:7" x14ac:dyDescent="0.3">
      <c r="A11" s="2" t="s">
        <v>47</v>
      </c>
      <c r="B11" s="4">
        <v>-122143862</v>
      </c>
      <c r="C11" s="4">
        <v>-171502831</v>
      </c>
      <c r="D11" s="4">
        <v>-282461208</v>
      </c>
      <c r="E11" s="4">
        <v>-210789892</v>
      </c>
      <c r="F11" s="4">
        <v>-65316259</v>
      </c>
      <c r="G11" s="5" t="s">
        <v>38</v>
      </c>
    </row>
    <row r="12" spans="1:7" x14ac:dyDescent="0.3">
      <c r="A12" s="1" t="s">
        <v>48</v>
      </c>
      <c r="B12" s="6">
        <f>B5+B7+B8+B9+B10+B11</f>
        <v>833920574</v>
      </c>
      <c r="C12" s="6">
        <f>C5+C7+C8+C9+C10+C11</f>
        <v>1024945968</v>
      </c>
      <c r="D12" s="6">
        <f>D5+D7+D8+D9+D10+D11</f>
        <v>1801929607</v>
      </c>
      <c r="E12" s="6">
        <f>E5+E7+E8+E9+E10+E11</f>
        <v>4692977515</v>
      </c>
      <c r="F12" s="6">
        <f>F5+F7+F8+F9+F10+F11</f>
        <v>3573292094</v>
      </c>
      <c r="G12" s="5" t="s">
        <v>49</v>
      </c>
    </row>
    <row r="13" spans="1:7" x14ac:dyDescent="0.3">
      <c r="A13" s="1" t="s">
        <v>50</v>
      </c>
      <c r="B13" s="7">
        <f>B12/B3</f>
        <v>9.4699410892622266E-2</v>
      </c>
      <c r="C13" s="7">
        <f>C12/C3</f>
        <v>9.0192675147329385E-2</v>
      </c>
      <c r="D13" s="7">
        <f>D12/D3</f>
        <v>0.11172608120301654</v>
      </c>
      <c r="E13" s="7">
        <f>E12/E3</f>
        <v>0.1931058576463916</v>
      </c>
      <c r="F13" s="7">
        <f>F12/F3</f>
        <v>0.11917152204659449</v>
      </c>
      <c r="G13" s="5" t="s">
        <v>51</v>
      </c>
    </row>
    <row r="14" spans="1:7" x14ac:dyDescent="0.3">
      <c r="A14" s="2" t="s">
        <v>52</v>
      </c>
      <c r="B14" s="4">
        <v>645136</v>
      </c>
      <c r="C14" s="4">
        <v>1809251</v>
      </c>
      <c r="D14" s="4">
        <v>-1256023</v>
      </c>
      <c r="E14" s="4">
        <v>2355482</v>
      </c>
      <c r="F14" s="4">
        <v>0</v>
      </c>
      <c r="G14" s="5" t="s">
        <v>38</v>
      </c>
    </row>
    <row r="15" spans="1:7" x14ac:dyDescent="0.3">
      <c r="A15" s="2" t="s">
        <v>53</v>
      </c>
      <c r="B15" s="4">
        <v>-68187651</v>
      </c>
      <c r="C15" s="4">
        <v>-123313682</v>
      </c>
      <c r="D15" s="4">
        <v>-320893260</v>
      </c>
      <c r="E15" s="4">
        <v>-596428158</v>
      </c>
      <c r="F15" s="4">
        <v>-1168793931</v>
      </c>
      <c r="G15" s="5" t="s">
        <v>54</v>
      </c>
    </row>
    <row r="16" spans="1:7" x14ac:dyDescent="0.3">
      <c r="A16" s="2" t="s">
        <v>55</v>
      </c>
      <c r="B16" s="4">
        <v>0</v>
      </c>
      <c r="C16" s="4">
        <v>0</v>
      </c>
      <c r="D16" s="4">
        <v>-115108535</v>
      </c>
      <c r="E16" s="4">
        <v>-522059933</v>
      </c>
      <c r="F16" s="4">
        <v>0</v>
      </c>
      <c r="G16" s="5" t="s">
        <v>38</v>
      </c>
    </row>
    <row r="17" spans="1:7" x14ac:dyDescent="0.3">
      <c r="A17" s="1" t="s">
        <v>56</v>
      </c>
      <c r="B17" s="6">
        <f>B12+B14+B15+B16</f>
        <v>766378059</v>
      </c>
      <c r="C17" s="6">
        <f>C12+C14+C15+C16</f>
        <v>903441537</v>
      </c>
      <c r="D17" s="6">
        <f>D12+D14+D15+D16</f>
        <v>1364671789</v>
      </c>
      <c r="E17" s="6">
        <f>E12+E14+E15+E16</f>
        <v>3576844906</v>
      </c>
      <c r="F17" s="6">
        <f>F12+F14+F15+F16</f>
        <v>2404498163</v>
      </c>
      <c r="G17" s="5" t="s">
        <v>57</v>
      </c>
    </row>
    <row r="18" spans="1:7" x14ac:dyDescent="0.3">
      <c r="A18" s="2" t="s">
        <v>58</v>
      </c>
      <c r="B18" s="4">
        <v>-226962845</v>
      </c>
      <c r="C18" s="4">
        <v>-272826682</v>
      </c>
      <c r="D18" s="4">
        <v>-343211571</v>
      </c>
      <c r="E18" s="4">
        <v>-841450390</v>
      </c>
      <c r="F18" s="4">
        <v>-494403328</v>
      </c>
      <c r="G18" s="5" t="s">
        <v>38</v>
      </c>
    </row>
    <row r="19" spans="1:7" x14ac:dyDescent="0.3">
      <c r="A19" s="2" t="s">
        <v>59</v>
      </c>
      <c r="B19" s="4">
        <v>-13026096</v>
      </c>
      <c r="C19" s="4">
        <v>7384145</v>
      </c>
      <c r="D19" s="4">
        <v>0</v>
      </c>
      <c r="E19" s="4">
        <v>0</v>
      </c>
      <c r="F19" s="4">
        <v>0</v>
      </c>
      <c r="G19" s="5" t="s">
        <v>60</v>
      </c>
    </row>
    <row r="20" spans="1:7" x14ac:dyDescent="0.3">
      <c r="A20" s="1" t="s">
        <v>61</v>
      </c>
      <c r="B20" s="6">
        <f>B17+B18+B19</f>
        <v>526389118</v>
      </c>
      <c r="C20" s="6">
        <f>C17+C18+C19</f>
        <v>637999000</v>
      </c>
      <c r="D20" s="6">
        <f>D17+D18+D19</f>
        <v>1021460218</v>
      </c>
      <c r="E20" s="6">
        <f>E17+E18+E19</f>
        <v>2735394516</v>
      </c>
      <c r="F20" s="6">
        <f>F17+F18+F19</f>
        <v>1910094835</v>
      </c>
      <c r="G20" s="5" t="s">
        <v>57</v>
      </c>
    </row>
    <row r="21" spans="1:7" x14ac:dyDescent="0.3">
      <c r="A21" s="1" t="s">
        <v>62</v>
      </c>
      <c r="B21" s="7">
        <f>B20/B3</f>
        <v>5.9776363515989986E-2</v>
      </c>
      <c r="C21" s="7">
        <f>C20/C3</f>
        <v>5.6142312227058781E-2</v>
      </c>
      <c r="D21" s="7">
        <f>D20/D3</f>
        <v>6.3334187317073687E-2</v>
      </c>
      <c r="E21" s="7">
        <f>E20/E3</f>
        <v>0.11255555824102777</v>
      </c>
      <c r="F21" s="7">
        <f>F20/F3</f>
        <v>6.3702855168908779E-2</v>
      </c>
      <c r="G21" s="5" t="s">
        <v>63</v>
      </c>
    </row>
    <row r="22" spans="1:7" x14ac:dyDescent="0.3">
      <c r="A22" s="2" t="s">
        <v>64</v>
      </c>
      <c r="B22" s="4">
        <v>1224</v>
      </c>
      <c r="C22" s="4">
        <v>1465</v>
      </c>
      <c r="D22" s="4">
        <v>2224</v>
      </c>
      <c r="E22" s="4">
        <v>4693</v>
      </c>
      <c r="F22" s="4">
        <v>4634</v>
      </c>
      <c r="G22" s="5" t="s">
        <v>65</v>
      </c>
    </row>
    <row r="23" spans="1:7" x14ac:dyDescent="0.3">
      <c r="A23" s="1" t="s">
        <v>66</v>
      </c>
      <c r="B23" s="2" t="s">
        <v>67</v>
      </c>
      <c r="C23" s="7">
        <f>C3/B3-1</f>
        <v>0.29048301128282694</v>
      </c>
      <c r="D23" s="7">
        <f>D3/C3-1</f>
        <v>0.41923251399428296</v>
      </c>
      <c r="E23" s="7">
        <f>E3/D3-1</f>
        <v>0.50684912633470081</v>
      </c>
      <c r="F23" s="7">
        <f>F3/E3-1</f>
        <v>0.23379500226551087</v>
      </c>
      <c r="G23" s="5" t="s">
        <v>68</v>
      </c>
    </row>
    <row r="24" spans="1:7" ht="30" customHeight="1" x14ac:dyDescent="0.3">
      <c r="A24" s="26" t="s">
        <v>69</v>
      </c>
      <c r="B24" s="27"/>
      <c r="C24" s="27"/>
      <c r="D24" s="27"/>
      <c r="E24" s="27"/>
      <c r="F24" s="27"/>
      <c r="G24" s="27"/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"/>
  <sheetViews>
    <sheetView showGridLines="0" workbookViewId="0">
      <pane ySplit="2" topLeftCell="A3" activePane="bottomLeft" state="frozen"/>
      <selection pane="bottomLeft" activeCell="A10" sqref="A10:J10"/>
    </sheetView>
  </sheetViews>
  <sheetFormatPr defaultRowHeight="14.4" x14ac:dyDescent="0.3"/>
  <cols>
    <col min="1" max="1" width="14.5546875" bestFit="1" customWidth="1"/>
    <col min="2" max="21" width="12.33203125" bestFit="1" customWidth="1"/>
  </cols>
  <sheetData>
    <row r="1" spans="1:21" ht="24" customHeight="1" x14ac:dyDescent="0.3">
      <c r="A1" s="28" t="s">
        <v>70</v>
      </c>
      <c r="B1" s="27"/>
      <c r="C1" s="27"/>
      <c r="D1" s="27"/>
      <c r="E1" s="27"/>
      <c r="F1" s="27"/>
      <c r="G1" s="27"/>
    </row>
    <row r="2" spans="1:21" x14ac:dyDescent="0.3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  <c r="P2" s="3" t="s">
        <v>86</v>
      </c>
      <c r="Q2" s="3" t="s">
        <v>87</v>
      </c>
      <c r="R2" s="3" t="s">
        <v>88</v>
      </c>
      <c r="S2" s="3" t="s">
        <v>89</v>
      </c>
      <c r="T2" s="3" t="s">
        <v>90</v>
      </c>
      <c r="U2" s="3" t="s">
        <v>91</v>
      </c>
    </row>
    <row r="3" spans="1:21" x14ac:dyDescent="0.3">
      <c r="A3" s="2" t="s">
        <v>35</v>
      </c>
      <c r="B3" s="4">
        <v>1861689122</v>
      </c>
      <c r="C3" s="4">
        <v>2226863636</v>
      </c>
      <c r="D3" s="4">
        <v>2435430424</v>
      </c>
      <c r="E3" s="4">
        <v>2281991070</v>
      </c>
      <c r="F3" s="4">
        <v>2403433446</v>
      </c>
      <c r="G3" s="4">
        <v>2761133770</v>
      </c>
      <c r="H3" s="4">
        <v>2996498775</v>
      </c>
      <c r="I3" s="4">
        <v>3202894179</v>
      </c>
      <c r="J3" s="4">
        <v>3423285226</v>
      </c>
      <c r="K3" s="4">
        <v>3730081032</v>
      </c>
      <c r="L3" s="4">
        <v>4500471406</v>
      </c>
      <c r="M3" s="4">
        <v>4474264097</v>
      </c>
      <c r="N3" s="4">
        <v>5758301967</v>
      </c>
      <c r="O3" s="4">
        <v>6035549981</v>
      </c>
      <c r="P3" s="4">
        <v>6863671472</v>
      </c>
      <c r="Q3" s="4">
        <v>5645092628</v>
      </c>
      <c r="R3" s="4">
        <v>6802910589</v>
      </c>
      <c r="S3" s="4">
        <v>7362177408</v>
      </c>
      <c r="T3" s="4">
        <v>7971607240</v>
      </c>
      <c r="U3" s="4">
        <v>7847750985</v>
      </c>
    </row>
    <row r="4" spans="1:21" x14ac:dyDescent="0.3">
      <c r="A4" s="2" t="s">
        <v>39</v>
      </c>
      <c r="B4" s="4">
        <v>542614912</v>
      </c>
      <c r="C4" s="4">
        <v>718065543</v>
      </c>
      <c r="D4" s="4">
        <v>661685152</v>
      </c>
      <c r="E4" s="4">
        <v>604705106</v>
      </c>
      <c r="F4" s="4">
        <v>641817404</v>
      </c>
      <c r="G4" s="4">
        <v>772638703</v>
      </c>
      <c r="H4" s="4">
        <v>680999419</v>
      </c>
      <c r="I4" s="4">
        <v>809950100</v>
      </c>
      <c r="J4" s="4">
        <v>1017338784</v>
      </c>
      <c r="K4" s="4">
        <v>910504506</v>
      </c>
      <c r="L4" s="4">
        <v>1072115667</v>
      </c>
      <c r="M4" s="4">
        <v>1221062075</v>
      </c>
      <c r="N4" s="4">
        <v>2204616820</v>
      </c>
      <c r="O4" s="4">
        <v>1928954980</v>
      </c>
      <c r="P4" s="4">
        <v>2035065549</v>
      </c>
      <c r="Q4" s="4">
        <v>1221731182</v>
      </c>
      <c r="R4" s="4">
        <v>1176834132</v>
      </c>
      <c r="S4" s="4">
        <v>1862885101</v>
      </c>
      <c r="T4" s="4">
        <v>1941619692</v>
      </c>
      <c r="U4" s="4">
        <v>1899545242</v>
      </c>
    </row>
    <row r="5" spans="1:21" x14ac:dyDescent="0.3">
      <c r="A5" s="1" t="s">
        <v>41</v>
      </c>
      <c r="B5" s="7">
        <f t="shared" ref="B5:U5" si="0">B4/B3</f>
        <v>0.2914637602958503</v>
      </c>
      <c r="C5" s="7">
        <f t="shared" si="0"/>
        <v>0.32245600107325118</v>
      </c>
      <c r="D5" s="7">
        <f t="shared" si="0"/>
        <v>0.27169125649388703</v>
      </c>
      <c r="E5" s="7">
        <f t="shared" si="0"/>
        <v>0.26499012811649608</v>
      </c>
      <c r="F5" s="7">
        <f t="shared" si="0"/>
        <v>0.26704188754141189</v>
      </c>
      <c r="G5" s="7">
        <f t="shared" si="0"/>
        <v>0.27982661013921106</v>
      </c>
      <c r="H5" s="7">
        <f t="shared" si="0"/>
        <v>0.22726504168185419</v>
      </c>
      <c r="I5" s="7">
        <f t="shared" si="0"/>
        <v>0.25288069312763894</v>
      </c>
      <c r="J5" s="7">
        <f t="shared" si="0"/>
        <v>0.29718200992230148</v>
      </c>
      <c r="K5" s="7">
        <f t="shared" si="0"/>
        <v>0.24409778184143213</v>
      </c>
      <c r="L5" s="7">
        <f t="shared" si="0"/>
        <v>0.23822297050274827</v>
      </c>
      <c r="M5" s="7">
        <f t="shared" si="0"/>
        <v>0.27290791257018637</v>
      </c>
      <c r="N5" s="7">
        <f t="shared" si="0"/>
        <v>0.38285884148388566</v>
      </c>
      <c r="O5" s="7">
        <f t="shared" si="0"/>
        <v>0.3195988743482166</v>
      </c>
      <c r="P5" s="7">
        <f t="shared" si="0"/>
        <v>0.2964980997855079</v>
      </c>
      <c r="Q5" s="7">
        <f t="shared" si="0"/>
        <v>0.21642358460871655</v>
      </c>
      <c r="R5" s="7">
        <f t="shared" si="0"/>
        <v>0.17298979849931995</v>
      </c>
      <c r="S5" s="7">
        <f t="shared" si="0"/>
        <v>0.25303453010731902</v>
      </c>
      <c r="T5" s="7">
        <f t="shared" si="0"/>
        <v>0.24356690357966004</v>
      </c>
      <c r="U5" s="7">
        <f t="shared" si="0"/>
        <v>0.24204963251646802</v>
      </c>
    </row>
    <row r="6" spans="1:21" x14ac:dyDescent="0.3">
      <c r="A6" s="2" t="s">
        <v>92</v>
      </c>
      <c r="B6" s="4">
        <v>260000000</v>
      </c>
      <c r="C6" s="4">
        <v>349000000</v>
      </c>
      <c r="D6" s="4">
        <v>335000000</v>
      </c>
      <c r="E6" s="4">
        <v>281000000</v>
      </c>
      <c r="F6" s="4">
        <v>279000000</v>
      </c>
      <c r="G6" s="4">
        <v>330000000</v>
      </c>
      <c r="H6" s="4">
        <v>340000000</v>
      </c>
      <c r="I6" s="4">
        <v>466000000</v>
      </c>
      <c r="J6" s="4">
        <v>594000000</v>
      </c>
      <c r="K6" s="4">
        <v>405000000</v>
      </c>
      <c r="L6" s="4">
        <v>576000000</v>
      </c>
      <c r="M6" s="4">
        <v>649000000</v>
      </c>
      <c r="N6" s="4">
        <v>1397000000</v>
      </c>
      <c r="O6" s="4">
        <v>1516000000</v>
      </c>
      <c r="P6" s="4">
        <v>1510000000</v>
      </c>
      <c r="Q6" s="4">
        <v>620000000</v>
      </c>
      <c r="R6" s="4">
        <v>1260000000</v>
      </c>
      <c r="S6" s="4">
        <v>1075000000</v>
      </c>
      <c r="T6" s="4">
        <v>1138000000</v>
      </c>
      <c r="U6" s="4">
        <v>1160000000</v>
      </c>
    </row>
    <row r="7" spans="1:21" x14ac:dyDescent="0.3">
      <c r="A7" s="1" t="s">
        <v>93</v>
      </c>
      <c r="B7" s="7">
        <f t="shared" ref="B7:U7" si="1">B6/B3</f>
        <v>0.13965811849439383</v>
      </c>
      <c r="C7" s="7">
        <f t="shared" si="1"/>
        <v>0.15672266337192098</v>
      </c>
      <c r="D7" s="7">
        <f t="shared" si="1"/>
        <v>0.13755268748338506</v>
      </c>
      <c r="E7" s="7">
        <f t="shared" si="1"/>
        <v>0.12313808046584512</v>
      </c>
      <c r="F7" s="7">
        <f t="shared" si="1"/>
        <v>0.1160839300394757</v>
      </c>
      <c r="G7" s="7">
        <f t="shared" si="1"/>
        <v>0.11951612181397499</v>
      </c>
      <c r="H7" s="7">
        <f t="shared" si="1"/>
        <v>0.11346575638096164</v>
      </c>
      <c r="I7" s="7">
        <f t="shared" si="1"/>
        <v>0.14549341125765616</v>
      </c>
      <c r="J7" s="7">
        <f t="shared" si="1"/>
        <v>0.17351753090526731</v>
      </c>
      <c r="K7" s="7">
        <f t="shared" si="1"/>
        <v>0.10857672970789231</v>
      </c>
      <c r="L7" s="7">
        <f t="shared" si="1"/>
        <v>0.12798659252274783</v>
      </c>
      <c r="M7" s="7">
        <f t="shared" si="1"/>
        <v>0.14505178637871541</v>
      </c>
      <c r="N7" s="7">
        <f t="shared" si="1"/>
        <v>0.24260624191055036</v>
      </c>
      <c r="O7" s="7">
        <f t="shared" si="1"/>
        <v>0.25117843523330768</v>
      </c>
      <c r="P7" s="7">
        <f t="shared" si="1"/>
        <v>0.21999887467807405</v>
      </c>
      <c r="Q7" s="7">
        <f t="shared" si="1"/>
        <v>0.10982990729412705</v>
      </c>
      <c r="R7" s="7">
        <f t="shared" si="1"/>
        <v>0.18521484054742146</v>
      </c>
      <c r="S7" s="7">
        <f t="shared" si="1"/>
        <v>0.14601658455443731</v>
      </c>
      <c r="T7" s="7">
        <f t="shared" si="1"/>
        <v>0.14275665693735307</v>
      </c>
      <c r="U7" s="7">
        <f t="shared" si="1"/>
        <v>0.14781304888715197</v>
      </c>
    </row>
    <row r="8" spans="1:21" x14ac:dyDescent="0.3">
      <c r="A8" s="2" t="s">
        <v>94</v>
      </c>
      <c r="B8" s="4">
        <v>123145654</v>
      </c>
      <c r="C8" s="4">
        <v>193065871</v>
      </c>
      <c r="D8" s="4">
        <v>173529864</v>
      </c>
      <c r="E8" s="4">
        <v>36647729</v>
      </c>
      <c r="F8" s="4">
        <v>144419705</v>
      </c>
      <c r="G8" s="4">
        <v>174529686</v>
      </c>
      <c r="H8" s="4">
        <v>155137340</v>
      </c>
      <c r="I8" s="4">
        <v>163912269</v>
      </c>
      <c r="J8" s="4">
        <v>339414732</v>
      </c>
      <c r="K8" s="4">
        <v>217015918</v>
      </c>
      <c r="L8" s="4">
        <v>322506055</v>
      </c>
      <c r="M8" s="4">
        <v>142523513</v>
      </c>
      <c r="N8" s="4">
        <v>478744970</v>
      </c>
      <c r="O8" s="4">
        <v>1001509233</v>
      </c>
      <c r="P8" s="4">
        <v>957550972</v>
      </c>
      <c r="Q8" s="4">
        <v>297549341</v>
      </c>
      <c r="R8" s="4">
        <v>299671870</v>
      </c>
      <c r="S8" s="4">
        <v>481511135</v>
      </c>
      <c r="T8" s="4">
        <v>490745113</v>
      </c>
      <c r="U8" s="4">
        <v>638166717</v>
      </c>
    </row>
    <row r="9" spans="1:21" x14ac:dyDescent="0.3">
      <c r="A9" s="1" t="s">
        <v>62</v>
      </c>
      <c r="B9" s="7">
        <f t="shared" ref="B9:U9" si="2">B8/B3</f>
        <v>6.6147270532313937E-2</v>
      </c>
      <c r="C9" s="7">
        <f t="shared" si="2"/>
        <v>8.6698560198681149E-2</v>
      </c>
      <c r="D9" s="7">
        <f t="shared" si="2"/>
        <v>7.1252236274108399E-2</v>
      </c>
      <c r="E9" s="7">
        <f t="shared" si="2"/>
        <v>1.6059540934136959E-2</v>
      </c>
      <c r="F9" s="7">
        <f t="shared" si="2"/>
        <v>6.0088913733124444E-2</v>
      </c>
      <c r="G9" s="7">
        <f t="shared" si="2"/>
        <v>6.32094279155479E-2</v>
      </c>
      <c r="H9" s="7">
        <f t="shared" si="2"/>
        <v>5.1772869488324755E-2</v>
      </c>
      <c r="I9" s="7">
        <f t="shared" si="2"/>
        <v>5.1176298634747992E-2</v>
      </c>
      <c r="J9" s="7">
        <f t="shared" si="2"/>
        <v>9.9148832069887241E-2</v>
      </c>
      <c r="K9" s="7">
        <f t="shared" si="2"/>
        <v>5.8179947335792889E-2</v>
      </c>
      <c r="L9" s="7">
        <f t="shared" si="2"/>
        <v>7.1660505290631768E-2</v>
      </c>
      <c r="M9" s="7">
        <f t="shared" si="2"/>
        <v>3.1854068045639554E-2</v>
      </c>
      <c r="N9" s="7">
        <f t="shared" si="2"/>
        <v>8.3139955622962905E-2</v>
      </c>
      <c r="O9" s="7">
        <f t="shared" si="2"/>
        <v>0.16593504090808059</v>
      </c>
      <c r="P9" s="7">
        <f t="shared" si="2"/>
        <v>0.13951002403105695</v>
      </c>
      <c r="Q9" s="7">
        <f t="shared" si="2"/>
        <v>5.2709381512029994E-2</v>
      </c>
      <c r="R9" s="7">
        <f t="shared" si="2"/>
        <v>4.4050537792537786E-2</v>
      </c>
      <c r="S9" s="7">
        <f t="shared" si="2"/>
        <v>6.5403359402447042E-2</v>
      </c>
      <c r="T9" s="7">
        <f t="shared" si="2"/>
        <v>6.156162718824567E-2</v>
      </c>
      <c r="U9" s="7">
        <f t="shared" si="2"/>
        <v>8.1318420808684719E-2</v>
      </c>
    </row>
    <row r="10" spans="1:21" ht="30" customHeight="1" x14ac:dyDescent="0.3">
      <c r="A10" s="26" t="s">
        <v>95</v>
      </c>
      <c r="B10" s="27"/>
      <c r="C10" s="27"/>
      <c r="D10" s="27"/>
      <c r="E10" s="27"/>
      <c r="F10" s="27"/>
      <c r="G10" s="27"/>
      <c r="H10" s="27"/>
      <c r="I10" s="27"/>
      <c r="J10" s="27"/>
    </row>
  </sheetData>
  <mergeCells count="2">
    <mergeCell ref="A10:J10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pane ySplit="2" topLeftCell="A3" activePane="bottomLeft" state="frozen"/>
      <selection pane="bottomLeft" activeCell="G7" sqref="G7"/>
    </sheetView>
  </sheetViews>
  <sheetFormatPr defaultRowHeight="14.4" x14ac:dyDescent="0.3"/>
  <cols>
    <col min="1" max="1" width="12" customWidth="1"/>
    <col min="2" max="5" width="10" customWidth="1"/>
    <col min="6" max="6" width="16" customWidth="1"/>
    <col min="7" max="7" width="20" customWidth="1"/>
  </cols>
  <sheetData>
    <row r="1" spans="1:7" ht="24" customHeight="1" x14ac:dyDescent="0.3">
      <c r="A1" s="28" t="s">
        <v>96</v>
      </c>
      <c r="B1" s="27"/>
      <c r="C1" s="27"/>
      <c r="D1" s="27"/>
      <c r="E1" s="27"/>
      <c r="F1" s="27"/>
      <c r="G1" s="27"/>
    </row>
    <row r="2" spans="1:7" x14ac:dyDescent="0.3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</row>
    <row r="3" spans="1:7" x14ac:dyDescent="0.3">
      <c r="A3" s="2" t="s">
        <v>29</v>
      </c>
      <c r="B3" s="8">
        <v>0.29099999999999998</v>
      </c>
      <c r="C3" s="8">
        <v>0.32200000000000001</v>
      </c>
      <c r="D3" s="8">
        <v>0.27200000000000002</v>
      </c>
      <c r="E3" s="8">
        <v>0.26500000000000001</v>
      </c>
      <c r="F3" s="2" t="s">
        <v>99</v>
      </c>
      <c r="G3" s="1" t="s">
        <v>104</v>
      </c>
    </row>
    <row r="4" spans="1:7" x14ac:dyDescent="0.3">
      <c r="A4" s="2" t="s">
        <v>30</v>
      </c>
      <c r="B4" s="8">
        <v>0.26700000000000002</v>
      </c>
      <c r="C4" s="8">
        <v>0.28000000000000003</v>
      </c>
      <c r="D4" s="8">
        <v>0.22700000000000001</v>
      </c>
      <c r="E4" s="8">
        <v>0.253</v>
      </c>
      <c r="F4" s="2" t="s">
        <v>99</v>
      </c>
      <c r="G4" s="1" t="s">
        <v>104</v>
      </c>
    </row>
    <row r="5" spans="1:7" x14ac:dyDescent="0.3">
      <c r="A5" s="2" t="s">
        <v>31</v>
      </c>
      <c r="B5" s="8">
        <v>0.29699999999999999</v>
      </c>
      <c r="C5" s="8">
        <v>0.24399999999999999</v>
      </c>
      <c r="D5" s="8">
        <v>0.24399999999999999</v>
      </c>
      <c r="E5" s="8">
        <v>0.27300000000000002</v>
      </c>
      <c r="F5" s="2" t="s">
        <v>98</v>
      </c>
      <c r="G5" s="1" t="s">
        <v>104</v>
      </c>
    </row>
    <row r="6" spans="1:7" x14ac:dyDescent="0.3">
      <c r="A6" s="2" t="s">
        <v>32</v>
      </c>
      <c r="B6" s="8">
        <v>0.38300000000000001</v>
      </c>
      <c r="C6" s="8">
        <v>0.32</v>
      </c>
      <c r="D6" s="8">
        <v>0.29599999999999999</v>
      </c>
      <c r="E6" s="8">
        <v>0.216</v>
      </c>
      <c r="F6" s="2" t="s">
        <v>98</v>
      </c>
      <c r="G6" s="1" t="s">
        <v>104</v>
      </c>
    </row>
    <row r="7" spans="1:7" x14ac:dyDescent="0.3">
      <c r="A7" s="2" t="s">
        <v>33</v>
      </c>
      <c r="B7" s="8">
        <v>0.17299999999999999</v>
      </c>
      <c r="C7" s="8">
        <v>0.253</v>
      </c>
      <c r="D7" s="8">
        <v>0.24399999999999999</v>
      </c>
      <c r="E7" s="8">
        <v>0.24199999999999999</v>
      </c>
      <c r="F7" s="2" t="s">
        <v>98</v>
      </c>
      <c r="G7" s="9" t="s">
        <v>105</v>
      </c>
    </row>
    <row r="8" spans="1:7" x14ac:dyDescent="0.3">
      <c r="A8" s="1" t="s">
        <v>106</v>
      </c>
      <c r="B8" s="7">
        <f>AVERAGE(B3:B7)</f>
        <v>0.28220000000000001</v>
      </c>
      <c r="C8" s="7">
        <f>AVERAGE(C3:C7)</f>
        <v>0.2838</v>
      </c>
      <c r="D8" s="7">
        <f>AVERAGE(D3:D7)</f>
        <v>0.25659999999999999</v>
      </c>
      <c r="E8" s="7">
        <f>AVERAGE(E3:E7)</f>
        <v>0.24980000000000002</v>
      </c>
    </row>
    <row r="10" spans="1:7" ht="30" customHeight="1" x14ac:dyDescent="0.3">
      <c r="A10" s="26" t="s">
        <v>107</v>
      </c>
      <c r="B10" s="27"/>
      <c r="C10" s="27"/>
      <c r="D10" s="27"/>
      <c r="E10" s="27"/>
      <c r="F10" s="27"/>
      <c r="G10" s="27"/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workbookViewId="0">
      <pane ySplit="2" topLeftCell="A3" activePane="bottomLeft" state="frozen"/>
      <selection pane="bottomLeft" activeCell="K8" sqref="K8"/>
    </sheetView>
  </sheetViews>
  <sheetFormatPr defaultRowHeight="14.4" x14ac:dyDescent="0.3"/>
  <cols>
    <col min="1" max="1" width="34" customWidth="1"/>
    <col min="2" max="6" width="15" customWidth="1"/>
  </cols>
  <sheetData>
    <row r="1" spans="1:7" ht="24" customHeight="1" x14ac:dyDescent="0.3">
      <c r="A1" s="28" t="s">
        <v>108</v>
      </c>
      <c r="B1" s="27"/>
      <c r="C1" s="27"/>
      <c r="D1" s="27"/>
      <c r="E1" s="27"/>
      <c r="F1" s="27"/>
      <c r="G1" s="27"/>
    </row>
    <row r="2" spans="1:7" x14ac:dyDescent="0.3">
      <c r="A2" s="3" t="s">
        <v>109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7" x14ac:dyDescent="0.3">
      <c r="A3" s="10" t="s">
        <v>110</v>
      </c>
      <c r="B3" s="11"/>
      <c r="C3" s="11"/>
      <c r="D3" s="11"/>
      <c r="E3" s="11"/>
      <c r="F3" s="11"/>
    </row>
    <row r="4" spans="1:7" x14ac:dyDescent="0.3">
      <c r="A4" s="2" t="s">
        <v>111</v>
      </c>
      <c r="B4" s="4">
        <v>3164789327</v>
      </c>
      <c r="C4" s="4">
        <v>3007277888</v>
      </c>
      <c r="D4" s="4">
        <v>3077685183</v>
      </c>
      <c r="E4" s="4">
        <v>3886899018</v>
      </c>
      <c r="F4" s="4">
        <v>5175562196</v>
      </c>
    </row>
    <row r="5" spans="1:7" x14ac:dyDescent="0.3">
      <c r="A5" s="2" t="s">
        <v>112</v>
      </c>
      <c r="B5" s="4">
        <v>73964179</v>
      </c>
      <c r="C5" s="4">
        <v>127380566</v>
      </c>
      <c r="D5" s="4">
        <v>299334840</v>
      </c>
      <c r="E5" s="4">
        <v>1511945561</v>
      </c>
      <c r="F5" s="4">
        <v>2722175926</v>
      </c>
    </row>
    <row r="6" spans="1:7" x14ac:dyDescent="0.3">
      <c r="A6" s="2" t="s">
        <v>113</v>
      </c>
      <c r="B6" s="4">
        <v>49752884</v>
      </c>
      <c r="C6" s="4">
        <v>64319246</v>
      </c>
      <c r="D6" s="4">
        <v>0</v>
      </c>
      <c r="E6" s="4">
        <v>0</v>
      </c>
      <c r="F6" s="4">
        <v>0</v>
      </c>
    </row>
    <row r="7" spans="1:7" x14ac:dyDescent="0.3">
      <c r="A7" s="2" t="s">
        <v>114</v>
      </c>
      <c r="B7" s="4">
        <v>196194420</v>
      </c>
      <c r="C7" s="4">
        <v>197472085</v>
      </c>
      <c r="D7" s="4">
        <v>305114220</v>
      </c>
      <c r="E7" s="4">
        <v>445704631</v>
      </c>
      <c r="F7" s="4">
        <v>574493531</v>
      </c>
    </row>
    <row r="8" spans="1:7" x14ac:dyDescent="0.3">
      <c r="A8" s="2" t="s">
        <v>115</v>
      </c>
      <c r="B8" s="4">
        <v>15116843</v>
      </c>
      <c r="C8" s="4">
        <v>16926093</v>
      </c>
      <c r="D8" s="4">
        <v>15670070</v>
      </c>
      <c r="E8" s="4">
        <v>18025552</v>
      </c>
      <c r="F8" s="4">
        <v>0</v>
      </c>
    </row>
    <row r="9" spans="1:7" x14ac:dyDescent="0.3">
      <c r="A9" s="2" t="s">
        <v>116</v>
      </c>
      <c r="B9" s="4">
        <v>0</v>
      </c>
      <c r="C9" s="4">
        <v>0</v>
      </c>
      <c r="D9" s="4">
        <v>0</v>
      </c>
      <c r="E9" s="4">
        <v>0</v>
      </c>
      <c r="F9" s="4">
        <v>109946586</v>
      </c>
    </row>
    <row r="10" spans="1:7" x14ac:dyDescent="0.3">
      <c r="A10" s="2" t="s">
        <v>117</v>
      </c>
      <c r="B10" s="4">
        <v>61583843</v>
      </c>
      <c r="C10" s="4">
        <v>47182377</v>
      </c>
      <c r="D10" s="4">
        <v>38966498</v>
      </c>
      <c r="E10" s="4">
        <v>93038704</v>
      </c>
      <c r="F10" s="4">
        <v>184421330</v>
      </c>
    </row>
    <row r="11" spans="1:7" x14ac:dyDescent="0.3">
      <c r="A11" s="2" t="s">
        <v>118</v>
      </c>
      <c r="B11" s="4">
        <v>97092890</v>
      </c>
      <c r="C11" s="4">
        <v>97092890</v>
      </c>
      <c r="D11" s="4">
        <v>97092890</v>
      </c>
      <c r="E11" s="4">
        <v>97092890</v>
      </c>
      <c r="F11" s="4">
        <v>97092890</v>
      </c>
    </row>
    <row r="12" spans="1:7" x14ac:dyDescent="0.3">
      <c r="A12" s="2" t="s">
        <v>119</v>
      </c>
      <c r="B12" s="4">
        <v>723872</v>
      </c>
      <c r="C12" s="4">
        <v>715600</v>
      </c>
      <c r="D12" s="4">
        <v>707329</v>
      </c>
      <c r="E12" s="4">
        <v>0</v>
      </c>
      <c r="F12" s="4">
        <v>690785</v>
      </c>
    </row>
    <row r="13" spans="1:7" x14ac:dyDescent="0.3">
      <c r="A13" s="1" t="s">
        <v>120</v>
      </c>
      <c r="B13" s="6">
        <f>SUM(B4:B12)</f>
        <v>3659218258</v>
      </c>
      <c r="C13" s="6">
        <f>SUM(C4:C12)</f>
        <v>3558366745</v>
      </c>
      <c r="D13" s="6">
        <f>SUM(D4:D12)</f>
        <v>3834571030</v>
      </c>
      <c r="E13" s="6">
        <f>SUM(E4:E12)</f>
        <v>6052706356</v>
      </c>
      <c r="F13" s="6">
        <f>SUM(F4:F12)</f>
        <v>8864383244</v>
      </c>
    </row>
    <row r="14" spans="1:7" x14ac:dyDescent="0.3">
      <c r="A14" s="10" t="s">
        <v>121</v>
      </c>
      <c r="B14" s="11"/>
      <c r="C14" s="11"/>
      <c r="D14" s="11"/>
      <c r="E14" s="11"/>
      <c r="F14" s="11"/>
    </row>
    <row r="15" spans="1:7" x14ac:dyDescent="0.3">
      <c r="A15" s="2" t="s">
        <v>122</v>
      </c>
      <c r="B15" s="4">
        <v>879266088</v>
      </c>
      <c r="C15" s="4">
        <v>1725513368</v>
      </c>
      <c r="D15" s="4">
        <v>2783515178</v>
      </c>
      <c r="E15" s="4">
        <v>4177070922</v>
      </c>
      <c r="F15" s="4">
        <v>5815744221</v>
      </c>
    </row>
    <row r="16" spans="1:7" x14ac:dyDescent="0.3">
      <c r="A16" s="2" t="s">
        <v>123</v>
      </c>
      <c r="B16" s="4">
        <v>456020949</v>
      </c>
      <c r="C16" s="4">
        <v>768124141</v>
      </c>
      <c r="D16" s="4">
        <v>834918362</v>
      </c>
      <c r="E16" s="4">
        <v>1501832833</v>
      </c>
      <c r="F16" s="4">
        <v>2033905286</v>
      </c>
    </row>
    <row r="17" spans="1:6" x14ac:dyDescent="0.3">
      <c r="A17" s="2" t="s">
        <v>124</v>
      </c>
      <c r="B17" s="4">
        <v>10617902</v>
      </c>
      <c r="C17" s="4">
        <v>20276099</v>
      </c>
      <c r="D17" s="4">
        <v>29465780</v>
      </c>
      <c r="E17" s="4">
        <v>0</v>
      </c>
      <c r="F17" s="4">
        <v>66662132</v>
      </c>
    </row>
    <row r="18" spans="1:6" x14ac:dyDescent="0.3">
      <c r="A18" s="2" t="s">
        <v>125</v>
      </c>
      <c r="B18" s="4">
        <v>1607427</v>
      </c>
      <c r="C18" s="4">
        <v>1942496</v>
      </c>
      <c r="D18" s="4">
        <v>0</v>
      </c>
      <c r="E18" s="4">
        <v>0</v>
      </c>
      <c r="F18" s="4">
        <v>0</v>
      </c>
    </row>
    <row r="19" spans="1:6" x14ac:dyDescent="0.3">
      <c r="A19" s="2" t="s">
        <v>126</v>
      </c>
      <c r="B19" s="4">
        <v>2966</v>
      </c>
      <c r="C19" s="4">
        <v>559970</v>
      </c>
      <c r="D19" s="4">
        <v>2760164</v>
      </c>
      <c r="E19" s="4">
        <v>3421436</v>
      </c>
      <c r="F19" s="4">
        <v>0</v>
      </c>
    </row>
    <row r="20" spans="1:6" x14ac:dyDescent="0.3">
      <c r="A20" s="2" t="s">
        <v>127</v>
      </c>
      <c r="B20" s="4">
        <v>0</v>
      </c>
      <c r="C20" s="4">
        <v>0</v>
      </c>
      <c r="D20" s="4">
        <v>0</v>
      </c>
      <c r="E20" s="4">
        <v>44186478</v>
      </c>
      <c r="F20" s="4">
        <v>0</v>
      </c>
    </row>
    <row r="21" spans="1:6" x14ac:dyDescent="0.3">
      <c r="A21" s="2" t="s">
        <v>128</v>
      </c>
      <c r="B21" s="4">
        <v>0</v>
      </c>
      <c r="C21" s="4">
        <v>0</v>
      </c>
      <c r="D21" s="4">
        <v>1610291</v>
      </c>
      <c r="E21" s="4">
        <v>0</v>
      </c>
      <c r="F21" s="4">
        <v>537771276</v>
      </c>
    </row>
    <row r="22" spans="1:6" x14ac:dyDescent="0.3">
      <c r="A22" s="2" t="s">
        <v>129</v>
      </c>
      <c r="B22" s="4">
        <v>453015330</v>
      </c>
      <c r="C22" s="4">
        <v>294504052</v>
      </c>
      <c r="D22" s="4">
        <v>1093526328</v>
      </c>
      <c r="E22" s="4">
        <v>1811244599</v>
      </c>
      <c r="F22" s="4">
        <v>1091755742</v>
      </c>
    </row>
    <row r="23" spans="1:6" x14ac:dyDescent="0.3">
      <c r="A23" s="1" t="s">
        <v>130</v>
      </c>
      <c r="B23" s="6">
        <f>SUM(B15:B22)</f>
        <v>1800530662</v>
      </c>
      <c r="C23" s="6">
        <f>SUM(C15:C22)</f>
        <v>2810920126</v>
      </c>
      <c r="D23" s="6">
        <f>SUM(D15:D22)</f>
        <v>4745796103</v>
      </c>
      <c r="E23" s="6">
        <f>SUM(E15:E22)</f>
        <v>7537756268</v>
      </c>
      <c r="F23" s="6">
        <f>SUM(F15:F22)</f>
        <v>9545838657</v>
      </c>
    </row>
    <row r="24" spans="1:6" x14ac:dyDescent="0.3">
      <c r="A24" s="1" t="s">
        <v>131</v>
      </c>
      <c r="B24" s="6">
        <f>B13+B23</f>
        <v>5459748920</v>
      </c>
      <c r="C24" s="6">
        <f>C13+C23</f>
        <v>6369286871</v>
      </c>
      <c r="D24" s="6">
        <f>D13+D23</f>
        <v>8580367133</v>
      </c>
      <c r="E24" s="6">
        <f>E13+E23</f>
        <v>13590462624</v>
      </c>
      <c r="F24" s="6">
        <f>F13+F23</f>
        <v>18410221901</v>
      </c>
    </row>
    <row r="25" spans="1:6" ht="30" customHeight="1" x14ac:dyDescent="0.3"/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2" customWidth="1"/>
    <col min="2" max="6" width="15" customWidth="1"/>
  </cols>
  <sheetData>
    <row r="1" spans="1:7" ht="24" customHeight="1" x14ac:dyDescent="0.3">
      <c r="A1" s="28" t="s">
        <v>132</v>
      </c>
      <c r="B1" s="27"/>
      <c r="C1" s="27"/>
      <c r="D1" s="27"/>
      <c r="E1" s="27"/>
      <c r="F1" s="27"/>
      <c r="G1" s="27"/>
    </row>
    <row r="2" spans="1:7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7" x14ac:dyDescent="0.3">
      <c r="A3" s="2" t="s">
        <v>133</v>
      </c>
      <c r="B3" s="4">
        <v>768096649</v>
      </c>
      <c r="C3" s="4">
        <v>439908278</v>
      </c>
      <c r="D3" s="4">
        <v>1651546284</v>
      </c>
      <c r="E3" s="4">
        <v>2274844702</v>
      </c>
      <c r="F3" s="4">
        <v>777594355</v>
      </c>
    </row>
    <row r="4" spans="1:7" x14ac:dyDescent="0.3">
      <c r="A4" s="2" t="s">
        <v>134</v>
      </c>
      <c r="B4" s="4">
        <v>-200495770</v>
      </c>
      <c r="C4" s="4">
        <v>-166813689</v>
      </c>
      <c r="D4" s="4">
        <v>-738602093</v>
      </c>
      <c r="E4" s="4">
        <v>-2901835696</v>
      </c>
      <c r="F4" s="4">
        <v>-3708873743</v>
      </c>
    </row>
    <row r="5" spans="1:7" x14ac:dyDescent="0.3">
      <c r="A5" s="2" t="s">
        <v>135</v>
      </c>
      <c r="B5" s="4">
        <v>-298286463</v>
      </c>
      <c r="C5" s="4">
        <v>-380096540</v>
      </c>
      <c r="D5" s="4">
        <v>49856453</v>
      </c>
      <c r="E5" s="4">
        <v>1529187259</v>
      </c>
      <c r="F5" s="4">
        <v>2289340385</v>
      </c>
    </row>
    <row r="6" spans="1:7" x14ac:dyDescent="0.3">
      <c r="A6" s="1" t="s">
        <v>136</v>
      </c>
      <c r="B6" s="6">
        <f>B3+B4+B5</f>
        <v>269314416</v>
      </c>
      <c r="C6" s="6">
        <f>C3+C4+C5</f>
        <v>-107001951</v>
      </c>
      <c r="D6" s="6">
        <f>D3+D4+D5</f>
        <v>962800644</v>
      </c>
      <c r="E6" s="6">
        <f>E3+E4+E5</f>
        <v>902196265</v>
      </c>
      <c r="F6" s="6">
        <f>F3+F4+F5</f>
        <v>-641939003</v>
      </c>
    </row>
    <row r="7" spans="1:7" x14ac:dyDescent="0.3">
      <c r="A7" s="2" t="s">
        <v>137</v>
      </c>
      <c r="B7" s="4">
        <v>1158376</v>
      </c>
      <c r="C7" s="4">
        <v>-51509327</v>
      </c>
      <c r="D7" s="4">
        <v>-163778368</v>
      </c>
      <c r="E7" s="4">
        <v>-184477994</v>
      </c>
      <c r="F7" s="4">
        <v>-77548855</v>
      </c>
    </row>
    <row r="8" spans="1:7" x14ac:dyDescent="0.3">
      <c r="A8" s="2" t="s">
        <v>138</v>
      </c>
      <c r="B8" s="4">
        <v>182542538</v>
      </c>
      <c r="C8" s="4">
        <v>453015330</v>
      </c>
      <c r="D8" s="4">
        <v>294504052</v>
      </c>
      <c r="E8" s="4">
        <v>1093526328</v>
      </c>
      <c r="F8" s="4">
        <v>1811244599</v>
      </c>
    </row>
    <row r="9" spans="1:7" x14ac:dyDescent="0.3">
      <c r="A9" s="1" t="s">
        <v>139</v>
      </c>
      <c r="B9" s="6">
        <f>B8+B6+B7</f>
        <v>453015330</v>
      </c>
      <c r="C9" s="6">
        <f>C8+C6+C7</f>
        <v>294504052</v>
      </c>
      <c r="D9" s="6">
        <f>D8+D6+D7</f>
        <v>1093526328</v>
      </c>
      <c r="E9" s="6">
        <f>E8+E6+E7</f>
        <v>1811244599</v>
      </c>
      <c r="F9" s="6">
        <f>F8+F6+F7</f>
        <v>1091756741</v>
      </c>
    </row>
    <row r="10" spans="1:7" x14ac:dyDescent="0.3">
      <c r="A10" s="2" t="s">
        <v>140</v>
      </c>
      <c r="B10" s="4">
        <v>453015330</v>
      </c>
      <c r="C10" s="4">
        <v>294504052</v>
      </c>
      <c r="D10" s="4">
        <v>1093526328</v>
      </c>
      <c r="E10" s="4">
        <v>1811244599</v>
      </c>
      <c r="F10" s="4">
        <v>1091755742</v>
      </c>
    </row>
    <row r="11" spans="1:7" ht="30" customHeight="1" x14ac:dyDescent="0.3">
      <c r="A11" s="26" t="s">
        <v>141</v>
      </c>
      <c r="B11" s="27"/>
      <c r="C11" s="27"/>
      <c r="D11" s="27"/>
      <c r="E11" s="27"/>
      <c r="F11" s="27"/>
      <c r="G11" s="27"/>
    </row>
  </sheetData>
  <mergeCells count="2">
    <mergeCell ref="A11:G1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workbookViewId="0">
      <pane ySplit="2" topLeftCell="A3" activePane="bottomLeft" state="frozen"/>
      <selection pane="bottomLeft" activeCell="A13" sqref="A13"/>
    </sheetView>
  </sheetViews>
  <sheetFormatPr defaultRowHeight="14.4" x14ac:dyDescent="0.3"/>
  <cols>
    <col min="1" max="1" width="30" customWidth="1"/>
    <col min="2" max="6" width="15" customWidth="1"/>
  </cols>
  <sheetData>
    <row r="1" spans="1:7" ht="24" customHeight="1" x14ac:dyDescent="0.3">
      <c r="A1" s="28" t="s">
        <v>142</v>
      </c>
      <c r="B1" s="27"/>
      <c r="C1" s="27"/>
      <c r="D1" s="27"/>
      <c r="E1" s="27"/>
      <c r="F1" s="27"/>
      <c r="G1" s="27"/>
    </row>
    <row r="2" spans="1:7" x14ac:dyDescent="0.3">
      <c r="A2" s="3" t="s">
        <v>143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7" x14ac:dyDescent="0.3">
      <c r="A3" s="2" t="s">
        <v>35</v>
      </c>
      <c r="B3" s="4">
        <v>8805974252</v>
      </c>
      <c r="C3" s="4">
        <v>11363960170</v>
      </c>
      <c r="D3" s="4">
        <v>15536190159</v>
      </c>
      <c r="E3" s="4">
        <v>24302616048</v>
      </c>
      <c r="F3" s="4">
        <v>29984446222</v>
      </c>
    </row>
    <row r="4" spans="1:7" x14ac:dyDescent="0.3">
      <c r="A4" s="2" t="s">
        <v>144</v>
      </c>
      <c r="B4" s="4">
        <v>6278903539</v>
      </c>
      <c r="C4" s="4">
        <v>8458554544</v>
      </c>
      <c r="D4" s="4">
        <v>11926060448</v>
      </c>
      <c r="E4" s="4">
        <v>16912916624</v>
      </c>
      <c r="F4" s="4">
        <v>23103562055</v>
      </c>
    </row>
    <row r="5" spans="1:7" x14ac:dyDescent="0.3">
      <c r="A5" s="2" t="s">
        <v>122</v>
      </c>
      <c r="B5" s="4">
        <v>879266088</v>
      </c>
      <c r="C5" s="4">
        <v>1725513368</v>
      </c>
      <c r="D5" s="4">
        <v>2783515178</v>
      </c>
      <c r="E5" s="4">
        <v>4177070922</v>
      </c>
      <c r="F5" s="4">
        <v>5815744221</v>
      </c>
    </row>
    <row r="6" spans="1:7" x14ac:dyDescent="0.3">
      <c r="A6" s="2" t="s">
        <v>145</v>
      </c>
      <c r="B6" s="4">
        <v>456020949</v>
      </c>
      <c r="C6" s="4">
        <v>768124141</v>
      </c>
      <c r="D6" s="4">
        <v>834918362</v>
      </c>
      <c r="E6" s="4">
        <v>1501832833</v>
      </c>
      <c r="F6" s="4">
        <v>2033905286</v>
      </c>
    </row>
    <row r="7" spans="1:7" x14ac:dyDescent="0.3">
      <c r="A7" s="2" t="s">
        <v>146</v>
      </c>
      <c r="B7" s="4">
        <v>928212428</v>
      </c>
      <c r="C7" s="4">
        <v>1340285565</v>
      </c>
      <c r="D7" s="4">
        <v>2261080629</v>
      </c>
      <c r="E7" s="4">
        <v>2006712301</v>
      </c>
      <c r="F7" s="4">
        <v>2800000000</v>
      </c>
    </row>
    <row r="8" spans="1:7" x14ac:dyDescent="0.3">
      <c r="A8" s="1" t="s">
        <v>147</v>
      </c>
      <c r="B8" s="12">
        <f>B5/B4*365</f>
        <v>51.112765170957346</v>
      </c>
      <c r="C8" s="12">
        <f>C5/C4*365</f>
        <v>74.458629549980472</v>
      </c>
      <c r="D8" s="12">
        <f>D5/D4*365</f>
        <v>85.190163541421612</v>
      </c>
      <c r="E8" s="12">
        <f>E5/E4*365</f>
        <v>90.145947054838388</v>
      </c>
      <c r="F8" s="12">
        <f>F5/F4*365</f>
        <v>91.879625990642495</v>
      </c>
    </row>
    <row r="9" spans="1:7" x14ac:dyDescent="0.3">
      <c r="A9" s="1" t="s">
        <v>148</v>
      </c>
      <c r="B9" s="12">
        <f t="shared" ref="B9:F10" si="0">B6/B3*365</f>
        <v>18.901673071233049</v>
      </c>
      <c r="C9" s="12">
        <f t="shared" si="0"/>
        <v>24.671444397098764</v>
      </c>
      <c r="D9" s="12">
        <f t="shared" si="0"/>
        <v>19.615182294448381</v>
      </c>
      <c r="E9" s="12">
        <f t="shared" si="0"/>
        <v>22.555966113372882</v>
      </c>
      <c r="F9" s="12">
        <f t="shared" si="0"/>
        <v>24.758684015491635</v>
      </c>
    </row>
    <row r="10" spans="1:7" x14ac:dyDescent="0.3">
      <c r="A10" s="1" t="s">
        <v>149</v>
      </c>
      <c r="B10" s="12">
        <f t="shared" si="0"/>
        <v>53.958073111911197</v>
      </c>
      <c r="C10" s="12">
        <f t="shared" si="0"/>
        <v>57.835440875889681</v>
      </c>
      <c r="D10" s="12">
        <f t="shared" si="0"/>
        <v>69.200926255861958</v>
      </c>
      <c r="E10" s="12">
        <f t="shared" si="0"/>
        <v>43.307136560090925</v>
      </c>
      <c r="F10" s="12">
        <f t="shared" si="0"/>
        <v>44.235603045410997</v>
      </c>
    </row>
    <row r="11" spans="1:7" x14ac:dyDescent="0.3">
      <c r="A11" s="1" t="s">
        <v>150</v>
      </c>
      <c r="B11" s="13">
        <f>B8+B9-B10</f>
        <v>16.056365130279197</v>
      </c>
      <c r="C11" s="13">
        <f>C8+C9-C10</f>
        <v>41.294633071189558</v>
      </c>
      <c r="D11" s="13">
        <f>D8+D9-D10</f>
        <v>35.604419580008027</v>
      </c>
      <c r="E11" s="13">
        <f>E8+E9-E10</f>
        <v>69.394776608120338</v>
      </c>
      <c r="F11" s="13">
        <f>F8+F9-F10</f>
        <v>72.402706960723137</v>
      </c>
    </row>
    <row r="12" spans="1:7" ht="30" customHeight="1" x14ac:dyDescent="0.3">
      <c r="A12" s="26" t="s">
        <v>283</v>
      </c>
      <c r="B12" s="27"/>
      <c r="C12" s="27"/>
      <c r="D12" s="27"/>
      <c r="E12" s="27"/>
      <c r="F12" s="27"/>
      <c r="G12" s="27"/>
    </row>
  </sheetData>
  <mergeCells count="2">
    <mergeCell ref="A1:G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workbookViewId="0">
      <pane ySplit="2" topLeftCell="A3" activePane="bottomLeft" state="frozen"/>
      <selection pane="bottomLeft" activeCell="N6" sqref="N6"/>
    </sheetView>
  </sheetViews>
  <sheetFormatPr defaultRowHeight="14.4" x14ac:dyDescent="0.3"/>
  <cols>
    <col min="1" max="1" width="28" customWidth="1"/>
    <col min="2" max="2" width="16" customWidth="1"/>
    <col min="3" max="4" width="12" customWidth="1"/>
  </cols>
  <sheetData>
    <row r="1" spans="1:6" ht="24" customHeight="1" x14ac:dyDescent="0.3">
      <c r="A1" s="28" t="s">
        <v>151</v>
      </c>
      <c r="B1" s="27"/>
      <c r="C1" s="27"/>
      <c r="D1" s="27"/>
      <c r="E1" s="27"/>
      <c r="F1" s="27"/>
    </row>
    <row r="2" spans="1:6" x14ac:dyDescent="0.3">
      <c r="A2" s="3" t="s">
        <v>152</v>
      </c>
      <c r="B2" s="3" t="s">
        <v>153</v>
      </c>
      <c r="C2" s="3" t="s">
        <v>154</v>
      </c>
      <c r="D2" s="3" t="s">
        <v>155</v>
      </c>
    </row>
    <row r="3" spans="1:6" x14ac:dyDescent="0.3">
      <c r="A3" s="2" t="s">
        <v>156</v>
      </c>
      <c r="B3" s="4">
        <v>8528</v>
      </c>
      <c r="C3" s="8">
        <v>0.52900000000000003</v>
      </c>
      <c r="D3" s="8">
        <v>0.4</v>
      </c>
    </row>
    <row r="4" spans="1:6" x14ac:dyDescent="0.3">
      <c r="A4" s="2" t="s">
        <v>157</v>
      </c>
      <c r="B4" s="4">
        <v>3541</v>
      </c>
      <c r="C4" s="8">
        <v>0.22</v>
      </c>
      <c r="D4" s="8">
        <v>0.28999999999999998</v>
      </c>
    </row>
    <row r="5" spans="1:6" x14ac:dyDescent="0.3">
      <c r="A5" s="2" t="s">
        <v>158</v>
      </c>
      <c r="B5" s="4">
        <v>2740</v>
      </c>
      <c r="C5" s="8">
        <v>0.17</v>
      </c>
      <c r="D5" s="8">
        <v>0.43</v>
      </c>
    </row>
    <row r="6" spans="1:6" x14ac:dyDescent="0.3">
      <c r="A6" s="2" t="s">
        <v>159</v>
      </c>
      <c r="B6" s="4">
        <v>1032</v>
      </c>
      <c r="C6" s="8">
        <v>6.4000000000000001E-2</v>
      </c>
      <c r="D6" s="8">
        <v>1.64</v>
      </c>
    </row>
    <row r="7" spans="1:6" x14ac:dyDescent="0.3">
      <c r="A7" s="2" t="s">
        <v>160</v>
      </c>
      <c r="B7" s="4">
        <v>287</v>
      </c>
      <c r="C7" s="8">
        <v>1.7999999999999999E-2</v>
      </c>
      <c r="D7" s="8">
        <v>0.24</v>
      </c>
    </row>
    <row r="8" spans="1:6" x14ac:dyDescent="0.3">
      <c r="A8" s="1" t="s">
        <v>161</v>
      </c>
      <c r="B8" s="6">
        <f>SUM(B3:B7)</f>
        <v>16128</v>
      </c>
    </row>
    <row r="10" spans="1:6" x14ac:dyDescent="0.3">
      <c r="A10" s="1" t="s">
        <v>162</v>
      </c>
    </row>
    <row r="11" spans="1:6" x14ac:dyDescent="0.3">
      <c r="A11" s="3" t="s">
        <v>143</v>
      </c>
      <c r="B11" s="3" t="s">
        <v>31</v>
      </c>
      <c r="C11" s="3" t="s">
        <v>33</v>
      </c>
    </row>
    <row r="12" spans="1:6" x14ac:dyDescent="0.3">
      <c r="A12" s="2" t="s">
        <v>163</v>
      </c>
      <c r="B12" s="14" t="s">
        <v>164</v>
      </c>
      <c r="C12" s="14" t="s">
        <v>165</v>
      </c>
    </row>
    <row r="13" spans="1:6" x14ac:dyDescent="0.3">
      <c r="A13" s="2" t="s">
        <v>166</v>
      </c>
      <c r="B13" s="14" t="s">
        <v>167</v>
      </c>
      <c r="C13" s="14" t="s">
        <v>168</v>
      </c>
    </row>
    <row r="14" spans="1:6" x14ac:dyDescent="0.3">
      <c r="A14" s="2" t="s">
        <v>169</v>
      </c>
      <c r="B14" s="14" t="s">
        <v>170</v>
      </c>
      <c r="C14" s="14" t="s">
        <v>171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0" customWidth="1"/>
    <col min="2" max="3" width="16" customWidth="1"/>
    <col min="4" max="4" width="12" customWidth="1"/>
  </cols>
  <sheetData>
    <row r="1" spans="1:7" ht="24" customHeight="1" x14ac:dyDescent="0.3">
      <c r="A1" s="28" t="s">
        <v>172</v>
      </c>
      <c r="B1" s="27"/>
      <c r="C1" s="27"/>
      <c r="D1" s="27"/>
      <c r="E1" s="27"/>
      <c r="F1" s="27"/>
      <c r="G1" s="27"/>
    </row>
    <row r="2" spans="1:7" x14ac:dyDescent="0.3">
      <c r="A2" s="3" t="s">
        <v>173</v>
      </c>
      <c r="B2" s="3" t="s">
        <v>31</v>
      </c>
      <c r="C2" s="3" t="s">
        <v>30</v>
      </c>
      <c r="D2" s="3" t="s">
        <v>174</v>
      </c>
    </row>
    <row r="3" spans="1:7" x14ac:dyDescent="0.3">
      <c r="A3" s="2" t="s">
        <v>175</v>
      </c>
      <c r="B3" s="4">
        <v>11379909322</v>
      </c>
      <c r="C3" s="4">
        <v>8090545850</v>
      </c>
      <c r="D3" s="7">
        <v>0.95599999999999996</v>
      </c>
    </row>
    <row r="4" spans="1:7" x14ac:dyDescent="0.3">
      <c r="A4" s="2" t="s">
        <v>176</v>
      </c>
      <c r="B4" s="4">
        <v>313879771</v>
      </c>
      <c r="C4" s="4">
        <v>150718331</v>
      </c>
      <c r="D4" s="7">
        <v>2.5999999999999999E-2</v>
      </c>
    </row>
    <row r="5" spans="1:7" x14ac:dyDescent="0.3">
      <c r="A5" s="2" t="s">
        <v>177</v>
      </c>
      <c r="B5" s="4">
        <v>212622529</v>
      </c>
      <c r="C5" s="4">
        <v>217290363</v>
      </c>
      <c r="D5" s="7">
        <v>1.7999999999999999E-2</v>
      </c>
    </row>
    <row r="6" spans="1:7" x14ac:dyDescent="0.3">
      <c r="A6" s="1" t="s">
        <v>178</v>
      </c>
      <c r="B6" s="6">
        <f>SUM(B3:B5)</f>
        <v>11906411622</v>
      </c>
      <c r="C6" s="6">
        <f>SUM(C3:C5)</f>
        <v>8458554544</v>
      </c>
    </row>
    <row r="8" spans="1:7" x14ac:dyDescent="0.3">
      <c r="A8" s="1" t="s">
        <v>179</v>
      </c>
    </row>
    <row r="9" spans="1:7" x14ac:dyDescent="0.3">
      <c r="A9" s="3" t="s">
        <v>143</v>
      </c>
      <c r="B9" s="3" t="s">
        <v>31</v>
      </c>
      <c r="C9" s="3" t="s">
        <v>30</v>
      </c>
      <c r="D9" s="3" t="s">
        <v>180</v>
      </c>
    </row>
    <row r="10" spans="1:7" x14ac:dyDescent="0.3">
      <c r="A10" s="2" t="s">
        <v>181</v>
      </c>
      <c r="B10" s="4">
        <v>869035593</v>
      </c>
      <c r="C10" s="4">
        <v>514750127</v>
      </c>
      <c r="D10" s="7">
        <v>0.68799999999999994</v>
      </c>
    </row>
    <row r="11" spans="1:7" x14ac:dyDescent="0.3">
      <c r="A11" s="2" t="s">
        <v>182</v>
      </c>
      <c r="B11" s="4">
        <v>505755185</v>
      </c>
      <c r="C11" s="4">
        <v>486448453</v>
      </c>
      <c r="D11" s="7">
        <v>0.04</v>
      </c>
    </row>
    <row r="12" spans="1:7" x14ac:dyDescent="0.3">
      <c r="A12" s="2" t="s">
        <v>183</v>
      </c>
      <c r="B12" s="4">
        <v>875366224</v>
      </c>
      <c r="C12" s="4">
        <v>561486453</v>
      </c>
      <c r="D12" s="7">
        <v>0.55900000000000005</v>
      </c>
    </row>
    <row r="13" spans="1:7" x14ac:dyDescent="0.3">
      <c r="A13" s="2" t="s">
        <v>184</v>
      </c>
      <c r="B13" s="4">
        <v>150608669</v>
      </c>
      <c r="C13" s="4">
        <v>96617666</v>
      </c>
      <c r="D13" s="7">
        <v>0.55900000000000005</v>
      </c>
    </row>
    <row r="14" spans="1:7" x14ac:dyDescent="0.3">
      <c r="A14" s="2" t="s">
        <v>185</v>
      </c>
      <c r="B14" s="4">
        <v>382749507</v>
      </c>
      <c r="C14" s="4">
        <v>66210669</v>
      </c>
      <c r="D14" s="7">
        <v>4.7809999999999997</v>
      </c>
    </row>
    <row r="15" spans="1:7" ht="30" customHeight="1" x14ac:dyDescent="0.3">
      <c r="A15" s="26" t="s">
        <v>186</v>
      </c>
      <c r="B15" s="27"/>
      <c r="C15" s="27"/>
      <c r="D15" s="27"/>
      <c r="E15" s="27"/>
      <c r="F15" s="27"/>
      <c r="G15" s="27"/>
    </row>
  </sheetData>
  <mergeCells count="2">
    <mergeCell ref="A1:G1"/>
    <mergeCell ref="A15:G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0" customWidth="1"/>
    <col min="2" max="5" width="15" customWidth="1"/>
    <col min="6" max="6" width="30" customWidth="1"/>
  </cols>
  <sheetData>
    <row r="1" spans="1:7" ht="24" customHeight="1" x14ac:dyDescent="0.3">
      <c r="A1" s="28" t="s">
        <v>187</v>
      </c>
      <c r="B1" s="27"/>
      <c r="C1" s="27"/>
      <c r="D1" s="27"/>
      <c r="E1" s="27"/>
      <c r="F1" s="27"/>
      <c r="G1" s="27"/>
    </row>
    <row r="2" spans="1:7" x14ac:dyDescent="0.3">
      <c r="A2" s="3" t="s">
        <v>109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188</v>
      </c>
    </row>
    <row r="3" spans="1:7" x14ac:dyDescent="0.3">
      <c r="A3" s="2" t="s">
        <v>189</v>
      </c>
      <c r="B3" s="4">
        <v>-51509326</v>
      </c>
      <c r="C3" s="4">
        <v>-163778368</v>
      </c>
      <c r="D3" s="4">
        <v>-184477994</v>
      </c>
      <c r="E3" s="4">
        <v>-77548855</v>
      </c>
      <c r="F3" s="5" t="s">
        <v>190</v>
      </c>
    </row>
    <row r="4" spans="1:7" x14ac:dyDescent="0.3">
      <c r="A4" s="2" t="s">
        <v>191</v>
      </c>
      <c r="B4" s="4">
        <v>0</v>
      </c>
      <c r="C4" s="4">
        <v>0</v>
      </c>
      <c r="D4" s="4">
        <v>-344814387</v>
      </c>
      <c r="E4" s="4">
        <v>-348000000</v>
      </c>
      <c r="F4" s="5" t="s">
        <v>192</v>
      </c>
    </row>
    <row r="5" spans="1:7" x14ac:dyDescent="0.3">
      <c r="A5" s="1" t="s">
        <v>193</v>
      </c>
      <c r="B5" s="6">
        <f>B3+B4</f>
        <v>-51509326</v>
      </c>
      <c r="C5" s="6">
        <f>C3+C4</f>
        <v>-163778368</v>
      </c>
      <c r="D5" s="6">
        <f>D3+D4</f>
        <v>-529292381</v>
      </c>
      <c r="E5" s="6">
        <f>E3+E4</f>
        <v>-425548855</v>
      </c>
    </row>
    <row r="7" spans="1:7" x14ac:dyDescent="0.3">
      <c r="A7" s="2" t="s">
        <v>194</v>
      </c>
      <c r="B7" s="4">
        <v>637999000</v>
      </c>
      <c r="C7" s="4">
        <v>1021460000</v>
      </c>
      <c r="D7" s="4">
        <v>2735395000</v>
      </c>
      <c r="E7" s="4">
        <v>1910095000</v>
      </c>
    </row>
    <row r="8" spans="1:7" x14ac:dyDescent="0.3">
      <c r="A8" s="2" t="s">
        <v>195</v>
      </c>
      <c r="B8" s="4">
        <v>0</v>
      </c>
      <c r="C8" s="4">
        <v>0</v>
      </c>
      <c r="D8" s="4">
        <v>-344814387</v>
      </c>
      <c r="E8" s="4">
        <v>-348000000</v>
      </c>
    </row>
    <row r="9" spans="1:7" x14ac:dyDescent="0.3">
      <c r="A9" s="1" t="s">
        <v>196</v>
      </c>
      <c r="B9" s="6">
        <f>B7+B8</f>
        <v>637999000</v>
      </c>
      <c r="C9" s="6">
        <f>C7+C8</f>
        <v>1021460000</v>
      </c>
      <c r="D9" s="6">
        <f>D7+D8</f>
        <v>2390580613</v>
      </c>
      <c r="E9" s="6">
        <f>E7+E8</f>
        <v>1562095000</v>
      </c>
    </row>
    <row r="10" spans="1:7" x14ac:dyDescent="0.3">
      <c r="A10" s="2" t="s">
        <v>197</v>
      </c>
      <c r="B10" s="7">
        <f>B9/B7-1</f>
        <v>0</v>
      </c>
      <c r="C10" s="7">
        <f>C9/C7-1</f>
        <v>0</v>
      </c>
      <c r="D10" s="7">
        <f>D9/D7-1</f>
        <v>-0.12605652456043825</v>
      </c>
      <c r="E10" s="7">
        <f>E9/E7-1</f>
        <v>-0.18218989107871597</v>
      </c>
    </row>
    <row r="12" spans="1:7" ht="30" customHeight="1" x14ac:dyDescent="0.3">
      <c r="A12" s="26" t="s">
        <v>198</v>
      </c>
      <c r="B12" s="27"/>
      <c r="C12" s="27"/>
      <c r="D12" s="27"/>
      <c r="E12" s="27"/>
      <c r="F12" s="27"/>
      <c r="G12" s="27"/>
    </row>
  </sheetData>
  <mergeCells count="2">
    <mergeCell ref="A1:G1"/>
    <mergeCell ref="A12:G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showGridLines="0" workbookViewId="0">
      <pane ySplit="2" topLeftCell="A3" activePane="bottomLeft" state="frozen"/>
      <selection pane="bottomLeft" activeCell="L9" sqref="L9"/>
    </sheetView>
  </sheetViews>
  <sheetFormatPr defaultRowHeight="14.4" x14ac:dyDescent="0.3"/>
  <cols>
    <col min="1" max="1" width="32" customWidth="1"/>
    <col min="2" max="6" width="15" customWidth="1"/>
  </cols>
  <sheetData>
    <row r="1" spans="1:7" ht="24" customHeight="1" x14ac:dyDescent="0.3">
      <c r="A1" s="28" t="s">
        <v>199</v>
      </c>
      <c r="B1" s="27"/>
      <c r="C1" s="27"/>
      <c r="D1" s="27"/>
      <c r="E1" s="27"/>
      <c r="F1" s="27"/>
      <c r="G1" s="27"/>
    </row>
    <row r="2" spans="1:7" x14ac:dyDescent="0.3">
      <c r="A2" s="3" t="s">
        <v>143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7" x14ac:dyDescent="0.3">
      <c r="A3" s="2" t="s">
        <v>200</v>
      </c>
      <c r="B3" s="4">
        <v>2291432636</v>
      </c>
      <c r="C3" s="4">
        <v>2958554699</v>
      </c>
      <c r="D3" s="4">
        <v>4330598548</v>
      </c>
      <c r="E3" s="4">
        <v>7251138154</v>
      </c>
      <c r="F3" s="4">
        <v>10377677682</v>
      </c>
    </row>
    <row r="4" spans="1:7" x14ac:dyDescent="0.3">
      <c r="A4" s="2" t="s">
        <v>201</v>
      </c>
      <c r="B4" s="4">
        <v>453015330</v>
      </c>
      <c r="C4" s="4">
        <v>294504052</v>
      </c>
      <c r="D4" s="4">
        <v>1093526328</v>
      </c>
      <c r="E4" s="4">
        <v>1811244599</v>
      </c>
      <c r="F4" s="4">
        <v>1091755742</v>
      </c>
    </row>
    <row r="5" spans="1:7" x14ac:dyDescent="0.3">
      <c r="A5" s="2" t="s">
        <v>202</v>
      </c>
      <c r="B5" s="4">
        <v>3168316284</v>
      </c>
      <c r="C5" s="4">
        <v>3410732172</v>
      </c>
      <c r="D5" s="4">
        <v>4249768585</v>
      </c>
      <c r="E5" s="4">
        <v>6339324470</v>
      </c>
      <c r="F5" s="4">
        <v>8032544219</v>
      </c>
    </row>
    <row r="6" spans="1:7" x14ac:dyDescent="0.3">
      <c r="A6" s="2" t="s">
        <v>203</v>
      </c>
      <c r="B6" s="4">
        <v>5459748920</v>
      </c>
      <c r="C6" s="4">
        <v>6369286871</v>
      </c>
      <c r="D6" s="4">
        <v>8580367133</v>
      </c>
      <c r="E6" s="4">
        <v>13590462624</v>
      </c>
      <c r="F6" s="4">
        <v>18410221901</v>
      </c>
    </row>
    <row r="7" spans="1:7" x14ac:dyDescent="0.3">
      <c r="A7" s="1" t="s">
        <v>204</v>
      </c>
      <c r="B7" s="6">
        <f>B3-B4</f>
        <v>1838417306</v>
      </c>
      <c r="C7" s="6">
        <f>C3-C4</f>
        <v>2664050647</v>
      </c>
      <c r="D7" s="6">
        <f>D3-D4</f>
        <v>3237072220</v>
      </c>
      <c r="E7" s="6">
        <f>E3-E4</f>
        <v>5439893555</v>
      </c>
      <c r="F7" s="6">
        <f>F3-F4</f>
        <v>9285921940</v>
      </c>
    </row>
    <row r="8" spans="1:7" x14ac:dyDescent="0.3">
      <c r="A8" s="1" t="s">
        <v>205</v>
      </c>
      <c r="B8" s="7">
        <f>B7/B5</f>
        <v>0.58025056250981288</v>
      </c>
      <c r="C8" s="7">
        <f>C7/C5</f>
        <v>0.78107881611760865</v>
      </c>
      <c r="D8" s="7">
        <f>D7/D5</f>
        <v>0.76170552707871741</v>
      </c>
      <c r="E8" s="7">
        <f>E7/E5</f>
        <v>0.85811880757067482</v>
      </c>
      <c r="F8" s="7">
        <f>F7/F5</f>
        <v>1.1560374505048212</v>
      </c>
    </row>
    <row r="9" spans="1:7" x14ac:dyDescent="0.3">
      <c r="A9" s="2" t="s">
        <v>194</v>
      </c>
      <c r="B9" s="4">
        <v>526389118</v>
      </c>
      <c r="C9" s="4">
        <v>637999000</v>
      </c>
      <c r="D9" s="4">
        <v>1021460218</v>
      </c>
      <c r="E9" s="4">
        <v>2735394516</v>
      </c>
      <c r="F9" s="4">
        <v>1910094835</v>
      </c>
    </row>
    <row r="10" spans="1:7" x14ac:dyDescent="0.3">
      <c r="A10" s="2" t="s">
        <v>195</v>
      </c>
      <c r="B10" s="4">
        <v>0</v>
      </c>
      <c r="C10" s="4">
        <v>0</v>
      </c>
      <c r="D10" s="4">
        <v>0</v>
      </c>
      <c r="E10" s="4">
        <v>-344814387</v>
      </c>
      <c r="F10" s="4">
        <v>-348000000</v>
      </c>
    </row>
    <row r="11" spans="1:7" x14ac:dyDescent="0.3">
      <c r="A11" s="1" t="s">
        <v>206</v>
      </c>
      <c r="B11" s="6">
        <f>B9+B10</f>
        <v>526389118</v>
      </c>
      <c r="C11" s="6">
        <f>C9+C10</f>
        <v>637999000</v>
      </c>
      <c r="D11" s="6">
        <f>D9+D10</f>
        <v>1021460218</v>
      </c>
      <c r="E11" s="6">
        <f>E9+E10</f>
        <v>2390580129</v>
      </c>
      <c r="F11" s="6">
        <f>F9+F10</f>
        <v>1562094835</v>
      </c>
    </row>
    <row r="12" spans="1:7" x14ac:dyDescent="0.3">
      <c r="A12" s="2" t="s">
        <v>207</v>
      </c>
      <c r="B12" s="4">
        <v>3168316284</v>
      </c>
      <c r="C12" s="4">
        <v>3289524228</v>
      </c>
      <c r="D12" s="4">
        <v>3830250378.5</v>
      </c>
      <c r="E12" s="4">
        <v>5294546527.5</v>
      </c>
      <c r="F12" s="4">
        <v>7185934344.5</v>
      </c>
    </row>
    <row r="13" spans="1:7" x14ac:dyDescent="0.3">
      <c r="A13" s="2" t="s">
        <v>208</v>
      </c>
      <c r="B13" s="4">
        <v>5459748920</v>
      </c>
      <c r="C13" s="4">
        <v>5914517895.5</v>
      </c>
      <c r="D13" s="4">
        <v>7474827002</v>
      </c>
      <c r="E13" s="4">
        <v>11085414878.5</v>
      </c>
      <c r="F13" s="4">
        <v>16000342262.5</v>
      </c>
    </row>
    <row r="14" spans="1:7" x14ac:dyDescent="0.3">
      <c r="A14" s="1" t="s">
        <v>209</v>
      </c>
      <c r="B14" s="15">
        <f>B11/B12</f>
        <v>0.16614159408840132</v>
      </c>
      <c r="C14" s="15">
        <f>C11/C12</f>
        <v>0.19394871591746793</v>
      </c>
      <c r="D14" s="15">
        <f>D11/D12</f>
        <v>0.26668236200266981</v>
      </c>
      <c r="E14" s="15">
        <f>E11/E12</f>
        <v>0.45151744659967952</v>
      </c>
      <c r="F14" s="15">
        <f>F11/F12</f>
        <v>0.21738228602041187</v>
      </c>
    </row>
    <row r="15" spans="1:7" x14ac:dyDescent="0.3">
      <c r="A15" s="1" t="s">
        <v>210</v>
      </c>
      <c r="B15" s="7">
        <f>B9/'Income Statement'!B3</f>
        <v>5.9776363515989986E-2</v>
      </c>
      <c r="C15" s="7">
        <f>C9/'Income Statement'!C3</f>
        <v>5.6142312227058781E-2</v>
      </c>
      <c r="D15" s="7">
        <f>D9/'Income Statement'!D3</f>
        <v>6.3334187317073687E-2</v>
      </c>
      <c r="E15" s="7">
        <f>E9/'Income Statement'!E3</f>
        <v>0.11255555824102777</v>
      </c>
      <c r="F15" s="7">
        <f>F9/'Income Statement'!F3</f>
        <v>6.3702855168908779E-2</v>
      </c>
    </row>
    <row r="16" spans="1:7" x14ac:dyDescent="0.3">
      <c r="A16" s="1" t="s">
        <v>211</v>
      </c>
      <c r="B16" s="16">
        <f>'Income Statement'!B3/B13</f>
        <v>1.612889966375963</v>
      </c>
      <c r="C16" s="16">
        <f>'Income Statement'!C3/C13</f>
        <v>1.9213671123805631</v>
      </c>
      <c r="D16" s="16">
        <f>'Income Statement'!D3/D13</f>
        <v>2.1576555225538585</v>
      </c>
      <c r="E16" s="16">
        <f>'Income Statement'!E3/E13</f>
        <v>2.1923055036157977</v>
      </c>
      <c r="F16" s="16">
        <f>'Income Statement'!F3/F13</f>
        <v>1.8739878016406275</v>
      </c>
    </row>
    <row r="17" spans="1:7" x14ac:dyDescent="0.3">
      <c r="A17" s="1" t="s">
        <v>212</v>
      </c>
      <c r="B17" s="16">
        <f>B13/B12</f>
        <v>1.7232335507574597</v>
      </c>
      <c r="C17" s="16">
        <f>C13/C12</f>
        <v>1.7979858136190021</v>
      </c>
      <c r="D17" s="16">
        <f>D13/D12</f>
        <v>1.9515243817891839</v>
      </c>
      <c r="E17" s="16">
        <f>E13/E12</f>
        <v>2.0937420836557186</v>
      </c>
      <c r="F17" s="16">
        <f>F13/F12</f>
        <v>2.2266196009355981</v>
      </c>
    </row>
    <row r="18" spans="1:7" x14ac:dyDescent="0.3">
      <c r="A18" s="1" t="s">
        <v>213</v>
      </c>
      <c r="B18" s="7">
        <f>B15*B16*B17</f>
        <v>0.16614159408840132</v>
      </c>
      <c r="C18" s="7">
        <f>C15*C16*C17</f>
        <v>0.19394871591746793</v>
      </c>
      <c r="D18" s="7">
        <f>D15*D16*D17</f>
        <v>0.26668236200266981</v>
      </c>
      <c r="E18" s="7">
        <f>E15*E16*E17</f>
        <v>0.51664377710013432</v>
      </c>
      <c r="F18" s="7">
        <f>F15*F16*F17</f>
        <v>0.26581022639901464</v>
      </c>
    </row>
    <row r="19" spans="1:7" x14ac:dyDescent="0.3">
      <c r="A19" s="2" t="s">
        <v>214</v>
      </c>
      <c r="B19" s="17">
        <v>12.23</v>
      </c>
      <c r="C19" s="17">
        <v>8.3119999999999994</v>
      </c>
      <c r="D19" s="17">
        <v>5.6150000000000002</v>
      </c>
      <c r="E19" s="17">
        <v>7.8680000000000003</v>
      </c>
      <c r="F19" s="17">
        <v>3.0569999999999999</v>
      </c>
    </row>
    <row r="20" spans="1:7" x14ac:dyDescent="0.3">
      <c r="A20" s="2" t="s">
        <v>215</v>
      </c>
      <c r="B20" s="4">
        <v>0.33</v>
      </c>
      <c r="C20" s="4">
        <v>0.35299999999999998</v>
      </c>
      <c r="D20" s="4">
        <v>0.42699999999999999</v>
      </c>
      <c r="E20" s="4">
        <v>0.63500000000000001</v>
      </c>
      <c r="F20" s="4">
        <v>0.51900000000000002</v>
      </c>
    </row>
    <row r="21" spans="1:7" x14ac:dyDescent="0.3">
      <c r="A21" s="2" t="s">
        <v>216</v>
      </c>
      <c r="B21" s="4">
        <v>625440430.5</v>
      </c>
      <c r="C21" s="4">
        <v>768709476</v>
      </c>
      <c r="D21" s="4">
        <v>1351447205.25</v>
      </c>
      <c r="E21" s="4">
        <v>3519733136.25</v>
      </c>
      <c r="F21" s="4">
        <v>2679969070.5</v>
      </c>
    </row>
    <row r="22" spans="1:7" x14ac:dyDescent="0.3">
      <c r="A22" s="1" t="s">
        <v>217</v>
      </c>
      <c r="B22" s="18">
        <f>B5+B7</f>
        <v>5006733590</v>
      </c>
      <c r="C22" s="18">
        <f>C5+C7</f>
        <v>6074782819</v>
      </c>
      <c r="D22" s="18">
        <f>D5+D7</f>
        <v>7486840805</v>
      </c>
      <c r="E22" s="18">
        <f>E5+E7</f>
        <v>11779218025</v>
      </c>
      <c r="F22" s="18">
        <f>F5+F7</f>
        <v>17318466159</v>
      </c>
    </row>
    <row r="23" spans="1:7" x14ac:dyDescent="0.3">
      <c r="A23" s="1" t="s">
        <v>218</v>
      </c>
      <c r="B23" s="15">
        <f>B21/B22</f>
        <v>0.1249198542836788</v>
      </c>
      <c r="C23" s="15">
        <f>C21/AVERAGE(B22:C22)</f>
        <v>0.13873723552413503</v>
      </c>
      <c r="D23" s="15">
        <f>D21/AVERAGE(C22:D22)</f>
        <v>0.19930463235365778</v>
      </c>
      <c r="E23" s="15">
        <f>E21/AVERAGE(D22:E22)</f>
        <v>0.36538174904451903</v>
      </c>
      <c r="F23" s="15">
        <f>F21/AVERAGE(E22:F22)</f>
        <v>0.18420497339603678</v>
      </c>
    </row>
    <row r="24" spans="1:7" ht="30" customHeight="1" x14ac:dyDescent="0.3">
      <c r="A24" s="26" t="s">
        <v>219</v>
      </c>
      <c r="B24" s="27"/>
      <c r="C24" s="27"/>
      <c r="D24" s="27"/>
      <c r="E24" s="27"/>
      <c r="F24" s="27"/>
      <c r="G24" s="27"/>
    </row>
  </sheetData>
  <mergeCells count="2">
    <mergeCell ref="A24:G24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showGridLines="0" workbookViewId="0">
      <pane ySplit="2" topLeftCell="A3" activePane="bottomLeft" state="frozen"/>
      <selection pane="bottomLeft" activeCell="A20" sqref="A20"/>
    </sheetView>
  </sheetViews>
  <sheetFormatPr defaultRowHeight="14.4" x14ac:dyDescent="0.3"/>
  <cols>
    <col min="1" max="1" width="34" customWidth="1"/>
    <col min="2" max="2" width="18" customWidth="1"/>
  </cols>
  <sheetData>
    <row r="1" spans="1:6" ht="24" customHeight="1" x14ac:dyDescent="0.3">
      <c r="A1" s="28" t="s">
        <v>220</v>
      </c>
      <c r="B1" s="27"/>
      <c r="C1" s="27"/>
      <c r="D1" s="27"/>
      <c r="E1" s="27"/>
      <c r="F1" s="27"/>
    </row>
    <row r="2" spans="1:6" x14ac:dyDescent="0.3">
      <c r="A2" s="3" t="s">
        <v>143</v>
      </c>
      <c r="B2" s="3" t="s">
        <v>221</v>
      </c>
    </row>
    <row r="3" spans="1:6" x14ac:dyDescent="0.3">
      <c r="A3" s="2" t="s">
        <v>222</v>
      </c>
      <c r="B3" s="19">
        <v>29.3</v>
      </c>
    </row>
    <row r="4" spans="1:6" x14ac:dyDescent="0.3">
      <c r="A4" s="2" t="s">
        <v>223</v>
      </c>
      <c r="B4" s="20">
        <v>1176756353</v>
      </c>
    </row>
    <row r="5" spans="1:6" x14ac:dyDescent="0.3">
      <c r="A5" s="1" t="s">
        <v>224</v>
      </c>
      <c r="B5" s="6">
        <f>B3*B4</f>
        <v>34478961142.900002</v>
      </c>
    </row>
    <row r="6" spans="1:6" x14ac:dyDescent="0.3">
      <c r="A6" s="2" t="s">
        <v>225</v>
      </c>
      <c r="B6" s="20">
        <v>9285921940</v>
      </c>
    </row>
    <row r="7" spans="1:6" x14ac:dyDescent="0.3">
      <c r="A7" s="1" t="s">
        <v>226</v>
      </c>
      <c r="B7" s="6">
        <f>B5+B6</f>
        <v>43764883082.900002</v>
      </c>
    </row>
    <row r="8" spans="1:6" x14ac:dyDescent="0.3">
      <c r="A8" s="2" t="s">
        <v>227</v>
      </c>
      <c r="B8" s="20">
        <v>1910095000</v>
      </c>
    </row>
    <row r="9" spans="1:6" x14ac:dyDescent="0.3">
      <c r="A9" s="2" t="s">
        <v>228</v>
      </c>
      <c r="B9" s="20">
        <v>1562095000</v>
      </c>
    </row>
    <row r="10" spans="1:6" x14ac:dyDescent="0.3">
      <c r="A10" s="2" t="s">
        <v>229</v>
      </c>
      <c r="B10" s="20">
        <v>2253000000</v>
      </c>
    </row>
    <row r="11" spans="1:6" x14ac:dyDescent="0.3">
      <c r="A11" s="2" t="s">
        <v>230</v>
      </c>
      <c r="B11" s="20">
        <v>4634000000</v>
      </c>
    </row>
    <row r="12" spans="1:6" x14ac:dyDescent="0.3">
      <c r="A12" s="1" t="s">
        <v>231</v>
      </c>
      <c r="B12" s="21">
        <f>B8/B4</f>
        <v>1.6231864779233531</v>
      </c>
    </row>
    <row r="13" spans="1:6" x14ac:dyDescent="0.3">
      <c r="A13" s="1" t="s">
        <v>232</v>
      </c>
      <c r="B13" s="21">
        <f>B9/B4</f>
        <v>1.3274583103100528</v>
      </c>
    </row>
    <row r="14" spans="1:6" x14ac:dyDescent="0.3">
      <c r="A14" s="1" t="s">
        <v>233</v>
      </c>
      <c r="B14" s="22">
        <f>B3/B12</f>
        <v>18.050914296356986</v>
      </c>
    </row>
    <row r="15" spans="1:6" x14ac:dyDescent="0.3">
      <c r="A15" s="1" t="s">
        <v>234</v>
      </c>
      <c r="B15" s="22">
        <f>B3/B13</f>
        <v>22.072256260278664</v>
      </c>
    </row>
    <row r="16" spans="1:6" x14ac:dyDescent="0.3">
      <c r="A16" s="1" t="s">
        <v>235</v>
      </c>
      <c r="B16" s="22">
        <f>B7/B11</f>
        <v>9.4442993273413904</v>
      </c>
    </row>
    <row r="17" spans="1:6" x14ac:dyDescent="0.3">
      <c r="A17" s="1" t="s">
        <v>282</v>
      </c>
      <c r="B17" s="25">
        <f>B5/'Income Statement'!F3</f>
        <v>1.1498948784187422</v>
      </c>
    </row>
    <row r="18" spans="1:6" x14ac:dyDescent="0.3">
      <c r="A18" s="1" t="s">
        <v>236</v>
      </c>
      <c r="B18" s="15">
        <f>1/B15</f>
        <v>4.5305744379182687E-2</v>
      </c>
    </row>
    <row r="19" spans="1:6" ht="30" customHeight="1" x14ac:dyDescent="0.3">
      <c r="A19" s="26" t="s">
        <v>284</v>
      </c>
      <c r="B19" s="27"/>
      <c r="C19" s="27"/>
      <c r="D19" s="27"/>
      <c r="E19" s="27"/>
      <c r="F19" s="27"/>
    </row>
  </sheetData>
  <mergeCells count="2">
    <mergeCell ref="A1:F1"/>
    <mergeCell ref="A19:F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20" customWidth="1"/>
    <col min="2" max="2" width="12" customWidth="1"/>
    <col min="3" max="5" width="16" customWidth="1"/>
  </cols>
  <sheetData>
    <row r="1" spans="1:7" ht="24" customHeight="1" x14ac:dyDescent="0.3">
      <c r="A1" s="28" t="s">
        <v>237</v>
      </c>
      <c r="B1" s="27"/>
      <c r="C1" s="27"/>
      <c r="D1" s="27"/>
      <c r="E1" s="27"/>
      <c r="F1" s="27"/>
      <c r="G1" s="27"/>
    </row>
    <row r="2" spans="1:7" ht="27.6" x14ac:dyDescent="0.3">
      <c r="A2" s="3" t="s">
        <v>238</v>
      </c>
      <c r="B2" s="3" t="s">
        <v>180</v>
      </c>
      <c r="C2" s="3" t="s">
        <v>239</v>
      </c>
    </row>
    <row r="3" spans="1:7" x14ac:dyDescent="0.3">
      <c r="A3" s="2" t="s">
        <v>240</v>
      </c>
      <c r="B3" s="8">
        <v>0.2</v>
      </c>
      <c r="C3" s="18">
        <f>29984.446*(1+B3)</f>
        <v>35981.335200000001</v>
      </c>
    </row>
    <row r="4" spans="1:7" x14ac:dyDescent="0.3">
      <c r="A4" s="2" t="s">
        <v>241</v>
      </c>
      <c r="B4" s="8">
        <v>0.24</v>
      </c>
      <c r="C4" s="18">
        <f>29984.446*(1+B4)</f>
        <v>37180.713040000002</v>
      </c>
    </row>
    <row r="5" spans="1:7" x14ac:dyDescent="0.3">
      <c r="A5" s="2" t="s">
        <v>242</v>
      </c>
      <c r="B5" s="8">
        <v>0.28000000000000003</v>
      </c>
      <c r="C5" s="18">
        <f>29984.446*(1+B5)</f>
        <v>38380.090880000003</v>
      </c>
    </row>
    <row r="7" spans="1:7" x14ac:dyDescent="0.3">
      <c r="A7" s="1" t="s">
        <v>243</v>
      </c>
    </row>
    <row r="8" spans="1:7" x14ac:dyDescent="0.3">
      <c r="A8" s="3" t="s">
        <v>244</v>
      </c>
      <c r="B8" s="3" t="s">
        <v>245</v>
      </c>
      <c r="C8" s="3" t="s">
        <v>246</v>
      </c>
      <c r="D8" s="3" t="s">
        <v>247</v>
      </c>
      <c r="E8" s="3" t="s">
        <v>39</v>
      </c>
    </row>
    <row r="9" spans="1:7" x14ac:dyDescent="0.3">
      <c r="A9" s="2" t="s">
        <v>248</v>
      </c>
      <c r="B9" s="8">
        <v>0.23</v>
      </c>
      <c r="C9" s="4">
        <v>8600</v>
      </c>
      <c r="D9" s="8">
        <v>0.252</v>
      </c>
      <c r="E9" s="18">
        <f>C9*D9</f>
        <v>2167.1999999999998</v>
      </c>
    </row>
    <row r="10" spans="1:7" x14ac:dyDescent="0.3">
      <c r="A10" s="2" t="s">
        <v>249</v>
      </c>
      <c r="B10" s="8">
        <v>0.27</v>
      </c>
      <c r="C10" s="18">
        <f>$C$4*B10</f>
        <v>10038.792520800002</v>
      </c>
      <c r="D10" s="8">
        <v>0.245</v>
      </c>
      <c r="E10" s="18">
        <f>C10*D10</f>
        <v>2459.5041675960001</v>
      </c>
    </row>
    <row r="11" spans="1:7" x14ac:dyDescent="0.3">
      <c r="A11" s="2" t="s">
        <v>250</v>
      </c>
      <c r="B11" s="8">
        <v>0.26</v>
      </c>
      <c r="C11" s="18">
        <f>$C$4*B11</f>
        <v>9666.9853904000011</v>
      </c>
      <c r="D11" s="8">
        <v>0.23499999999999999</v>
      </c>
      <c r="E11" s="18">
        <f>C11*D11</f>
        <v>2271.741566744</v>
      </c>
    </row>
    <row r="12" spans="1:7" x14ac:dyDescent="0.3">
      <c r="A12" s="2" t="s">
        <v>251</v>
      </c>
      <c r="B12" s="8">
        <v>0.24</v>
      </c>
      <c r="C12" s="18">
        <f>$C$4*B12</f>
        <v>8923.3711296000001</v>
      </c>
      <c r="D12" s="8">
        <v>0.23</v>
      </c>
      <c r="E12" s="18">
        <f>C12*D12</f>
        <v>2052.3753598080002</v>
      </c>
    </row>
    <row r="13" spans="1:7" x14ac:dyDescent="0.3">
      <c r="A13" s="1" t="s">
        <v>252</v>
      </c>
      <c r="C13" s="6">
        <f>SUM(C9:C12)</f>
        <v>37229.149040800003</v>
      </c>
      <c r="E13" s="6">
        <f>SUM(E9:E12)</f>
        <v>8950.8210941479992</v>
      </c>
    </row>
    <row r="15" spans="1:7" ht="30" customHeight="1" x14ac:dyDescent="0.3">
      <c r="A15" s="26" t="s">
        <v>253</v>
      </c>
      <c r="B15" s="27"/>
      <c r="C15" s="27"/>
      <c r="D15" s="27"/>
      <c r="E15" s="27"/>
      <c r="F15" s="27"/>
      <c r="G15" s="27"/>
    </row>
  </sheetData>
  <mergeCells count="2">
    <mergeCell ref="A1:G1"/>
    <mergeCell ref="A15:G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showGridLines="0" tabSelected="1" workbookViewId="0">
      <pane ySplit="2" topLeftCell="A3" activePane="bottomLeft" state="frozen"/>
      <selection pane="bottomLeft" activeCell="C9" sqref="C9"/>
    </sheetView>
  </sheetViews>
  <sheetFormatPr defaultRowHeight="14.4" x14ac:dyDescent="0.3"/>
  <cols>
    <col min="1" max="1" width="22" customWidth="1"/>
    <col min="2" max="3" width="46" customWidth="1"/>
  </cols>
  <sheetData>
    <row r="1" spans="1:7" ht="24" customHeight="1" x14ac:dyDescent="0.3">
      <c r="A1" s="28" t="s">
        <v>254</v>
      </c>
      <c r="B1" s="27"/>
      <c r="C1" s="27"/>
      <c r="D1" s="27"/>
      <c r="E1" s="27"/>
      <c r="F1" s="27"/>
      <c r="G1" s="27"/>
    </row>
    <row r="2" spans="1:7" x14ac:dyDescent="0.3">
      <c r="A2" s="3" t="s">
        <v>255</v>
      </c>
      <c r="B2" s="3" t="s">
        <v>256</v>
      </c>
      <c r="C2" s="3" t="s">
        <v>257</v>
      </c>
    </row>
    <row r="3" spans="1:7" ht="30" customHeight="1" x14ac:dyDescent="0.3">
      <c r="A3" s="23" t="s">
        <v>258</v>
      </c>
      <c r="B3" s="24" t="s">
        <v>259</v>
      </c>
      <c r="C3" s="24" t="s">
        <v>260</v>
      </c>
    </row>
    <row r="4" spans="1:7" ht="30" customHeight="1" x14ac:dyDescent="0.3">
      <c r="A4" s="23" t="s">
        <v>261</v>
      </c>
      <c r="B4" s="24" t="s">
        <v>262</v>
      </c>
      <c r="C4" s="24" t="s">
        <v>263</v>
      </c>
    </row>
    <row r="5" spans="1:7" ht="30" customHeight="1" x14ac:dyDescent="0.3">
      <c r="A5" s="23" t="s">
        <v>264</v>
      </c>
      <c r="B5" s="24" t="s">
        <v>265</v>
      </c>
      <c r="C5" s="24" t="s">
        <v>266</v>
      </c>
    </row>
    <row r="6" spans="1:7" ht="30" customHeight="1" x14ac:dyDescent="0.3">
      <c r="A6" s="23" t="s">
        <v>267</v>
      </c>
      <c r="B6" s="24" t="s">
        <v>268</v>
      </c>
      <c r="C6" s="24" t="s">
        <v>269</v>
      </c>
    </row>
    <row r="7" spans="1:7" ht="30" customHeight="1" x14ac:dyDescent="0.3">
      <c r="A7" s="23" t="s">
        <v>270</v>
      </c>
      <c r="B7" s="24" t="s">
        <v>271</v>
      </c>
      <c r="C7" s="24" t="s">
        <v>272</v>
      </c>
    </row>
    <row r="8" spans="1:7" ht="30" customHeight="1" x14ac:dyDescent="0.3">
      <c r="A8" s="23" t="s">
        <v>273</v>
      </c>
      <c r="B8" s="24" t="s">
        <v>274</v>
      </c>
      <c r="C8" s="24" t="s">
        <v>275</v>
      </c>
    </row>
    <row r="9" spans="1:7" ht="30" customHeight="1" x14ac:dyDescent="0.3">
      <c r="A9" s="23" t="s">
        <v>276</v>
      </c>
      <c r="B9" s="24" t="s">
        <v>277</v>
      </c>
      <c r="C9" s="24" t="s">
        <v>278</v>
      </c>
    </row>
    <row r="10" spans="1:7" ht="30" customHeight="1" x14ac:dyDescent="0.3">
      <c r="A10" s="23" t="s">
        <v>279</v>
      </c>
      <c r="B10" s="24" t="s">
        <v>280</v>
      </c>
      <c r="C10" s="24" t="s">
        <v>281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Income Statement</vt:lpstr>
      <vt:lpstr>Quarterly Data</vt:lpstr>
      <vt:lpstr>Seasonality</vt:lpstr>
      <vt:lpstr>Balance Sheet</vt:lpstr>
      <vt:lpstr>Cash Flow</vt:lpstr>
      <vt:lpstr>Working Capital</vt:lpstr>
      <vt:lpstr>Revenue Breakdown</vt:lpstr>
      <vt:lpstr>Cost Breakdown</vt:lpstr>
      <vt:lpstr>FX Differences</vt:lpstr>
      <vt:lpstr>Leverage &amp; Returns</vt:lpstr>
      <vt:lpstr>Valuation</vt:lpstr>
      <vt:lpstr>2026 Forecast</vt:lpstr>
      <vt:lpstr>Management 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Dawod</cp:lastModifiedBy>
  <dcterms:created xsi:type="dcterms:W3CDTF">2026-06-13T07:28:36Z</dcterms:created>
  <dcterms:modified xsi:type="dcterms:W3CDTF">2026-06-27T01:17:56Z</dcterms:modified>
</cp:coreProperties>
</file>