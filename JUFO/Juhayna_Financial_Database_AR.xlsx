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wod\Downloads\"/>
    </mc:Choice>
  </mc:AlternateContent>
  <xr:revisionPtr revIDLastSave="0" documentId="13_ncr:1_{DCD52111-9859-492B-93C2-A7B2B9905B07}" xr6:coauthVersionLast="47" xr6:coauthVersionMax="47" xr10:uidLastSave="{00000000-0000-0000-0000-000000000000}"/>
  <bookViews>
    <workbookView xWindow="-108" yWindow="-108" windowWidth="23256" windowHeight="12456" tabRatio="500" firstSheet="7" activeTab="10" xr2:uid="{00000000-000D-0000-FFFF-FFFF00000000}"/>
  </bookViews>
  <sheets>
    <sheet name="فهرس" sheetId="1" r:id="rId1"/>
    <sheet name="الموسمية" sheetId="4" r:id="rId2"/>
    <sheet name="المركز المالي" sheetId="5" r:id="rId3"/>
    <sheet name="فروق العملة" sheetId="10" r:id="rId4"/>
    <sheet name="رأس المال العامل" sheetId="7" r:id="rId5"/>
    <sheet name="تشريح الإيراد" sheetId="8" r:id="rId6"/>
    <sheet name="تشريح التكاليف" sheetId="9" r:id="rId7"/>
    <sheet name="التدفقات النقدية" sheetId="6" r:id="rId8"/>
    <sheet name="قائمة الدخل" sheetId="2" r:id="rId9"/>
    <sheet name="الرفع والعوائد" sheetId="11" r:id="rId10"/>
    <sheet name="التقييم" sheetId="12" r:id="rId11"/>
    <sheet name="توقّع 2026" sheetId="13" r:id="rId12"/>
    <sheet name="البيانات الفصلية" sheetId="3" r:id="rId13"/>
    <sheet name="تصريحات الإدارة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11" l="1"/>
  <c r="E17" i="11"/>
  <c r="E16" i="11"/>
  <c r="V7" i="3"/>
  <c r="S20" i="3"/>
  <c r="R20" i="3"/>
  <c r="Q20" i="3"/>
  <c r="T20" i="3"/>
  <c r="Y20" i="3"/>
  <c r="X20" i="3"/>
  <c r="W20" i="3"/>
  <c r="V20" i="3"/>
  <c r="O20" i="3"/>
  <c r="N20" i="3"/>
  <c r="M20" i="3"/>
  <c r="L20" i="3"/>
  <c r="J20" i="3"/>
  <c r="I20" i="3"/>
  <c r="H20" i="3"/>
  <c r="G20" i="3"/>
  <c r="T16" i="3"/>
  <c r="S16" i="3"/>
  <c r="R16" i="3"/>
  <c r="Q16" i="3"/>
  <c r="H16" i="3"/>
  <c r="Y19" i="3"/>
  <c r="X19" i="3"/>
  <c r="W19" i="3"/>
  <c r="V19" i="3"/>
  <c r="T19" i="3"/>
  <c r="S19" i="3"/>
  <c r="R19" i="3"/>
  <c r="Q19" i="3"/>
  <c r="O19" i="3"/>
  <c r="N19" i="3"/>
  <c r="M19" i="3"/>
  <c r="L19" i="3"/>
  <c r="J19" i="3"/>
  <c r="I19" i="3"/>
  <c r="H19" i="3"/>
  <c r="G19" i="3"/>
  <c r="C19" i="3"/>
  <c r="C20" i="3" s="1"/>
  <c r="D19" i="3"/>
  <c r="D20" i="3" s="1"/>
  <c r="E19" i="3"/>
  <c r="E20" i="3" s="1"/>
  <c r="B19" i="3"/>
  <c r="B20" i="3" s="1"/>
  <c r="W14" i="3"/>
  <c r="W16" i="3" s="1"/>
  <c r="X14" i="3"/>
  <c r="X16" i="3" s="1"/>
  <c r="Y14" i="3"/>
  <c r="Y16" i="3" s="1"/>
  <c r="V14" i="3"/>
  <c r="T14" i="3"/>
  <c r="R14" i="3"/>
  <c r="S14" i="3"/>
  <c r="Q14" i="3"/>
  <c r="V15" i="3"/>
  <c r="V16" i="3" s="1"/>
  <c r="Q15" i="3"/>
  <c r="M14" i="3"/>
  <c r="M16" i="3" s="1"/>
  <c r="N14" i="3"/>
  <c r="N16" i="3" s="1"/>
  <c r="O14" i="3"/>
  <c r="O16" i="3" s="1"/>
  <c r="L14" i="3"/>
  <c r="L16" i="3" s="1"/>
  <c r="L15" i="3"/>
  <c r="H14" i="3"/>
  <c r="I14" i="3"/>
  <c r="I16" i="3" s="1"/>
  <c r="J14" i="3"/>
  <c r="J16" i="3" s="1"/>
  <c r="G14" i="3"/>
  <c r="G16" i="3" s="1"/>
  <c r="G15" i="3"/>
  <c r="C14" i="3"/>
  <c r="C16" i="3" s="1"/>
  <c r="D14" i="3"/>
  <c r="D16" i="3" s="1"/>
  <c r="E14" i="3"/>
  <c r="E16" i="3" s="1"/>
  <c r="B14" i="3"/>
  <c r="B15" i="3"/>
  <c r="F12" i="2"/>
  <c r="E12" i="2"/>
  <c r="C12" i="2"/>
  <c r="B12" i="2"/>
  <c r="B23" i="11" s="1"/>
  <c r="D12" i="2"/>
  <c r="E9" i="13"/>
  <c r="C5" i="13"/>
  <c r="C4" i="13"/>
  <c r="C3" i="13"/>
  <c r="B16" i="12"/>
  <c r="B15" i="12"/>
  <c r="B17" i="12" s="1"/>
  <c r="B14" i="12"/>
  <c r="B5" i="12"/>
  <c r="B7" i="12" s="1"/>
  <c r="B18" i="12" s="1"/>
  <c r="F24" i="11"/>
  <c r="C18" i="11"/>
  <c r="B18" i="11"/>
  <c r="F14" i="11"/>
  <c r="F18" i="11" s="1"/>
  <c r="E14" i="11"/>
  <c r="E18" i="11" s="1"/>
  <c r="D14" i="11"/>
  <c r="D18" i="11" s="1"/>
  <c r="C14" i="11"/>
  <c r="C19" i="11" s="1"/>
  <c r="B14" i="11"/>
  <c r="B19" i="11" s="1"/>
  <c r="F13" i="11"/>
  <c r="E13" i="11"/>
  <c r="D13" i="11"/>
  <c r="C13" i="11"/>
  <c r="B13" i="11"/>
  <c r="F8" i="11"/>
  <c r="E8" i="11"/>
  <c r="D8" i="11"/>
  <c r="F7" i="11"/>
  <c r="E7" i="11"/>
  <c r="E24" i="11" s="1"/>
  <c r="D7" i="11"/>
  <c r="D24" i="11" s="1"/>
  <c r="C7" i="11"/>
  <c r="C24" i="11" s="1"/>
  <c r="B7" i="11"/>
  <c r="B8" i="11" s="1"/>
  <c r="D10" i="10"/>
  <c r="C10" i="10"/>
  <c r="D9" i="10"/>
  <c r="C9" i="10"/>
  <c r="E8" i="10"/>
  <c r="E10" i="10" s="1"/>
  <c r="D8" i="10"/>
  <c r="C8" i="10"/>
  <c r="B8" i="10"/>
  <c r="B10" i="10" s="1"/>
  <c r="E5" i="10"/>
  <c r="D5" i="10"/>
  <c r="C5" i="10"/>
  <c r="B5" i="10"/>
  <c r="C15" i="9"/>
  <c r="B15" i="9"/>
  <c r="D14" i="9"/>
  <c r="D13" i="9"/>
  <c r="D12" i="9"/>
  <c r="D11" i="9"/>
  <c r="D10" i="9"/>
  <c r="C6" i="9"/>
  <c r="B6" i="9"/>
  <c r="D5" i="9"/>
  <c r="D4" i="9"/>
  <c r="D3" i="9"/>
  <c r="B8" i="8"/>
  <c r="C7" i="8" s="1"/>
  <c r="B11" i="7"/>
  <c r="F10" i="7"/>
  <c r="E10" i="7"/>
  <c r="D10" i="7"/>
  <c r="C10" i="7"/>
  <c r="B10" i="7"/>
  <c r="F9" i="7"/>
  <c r="F11" i="7" s="1"/>
  <c r="E9" i="7"/>
  <c r="D9" i="7"/>
  <c r="C9" i="7"/>
  <c r="B9" i="7"/>
  <c r="F8" i="7"/>
  <c r="E8" i="7"/>
  <c r="E11" i="7" s="1"/>
  <c r="D8" i="7"/>
  <c r="D11" i="7" s="1"/>
  <c r="C8" i="7"/>
  <c r="C11" i="7" s="1"/>
  <c r="B8" i="7"/>
  <c r="E9" i="6"/>
  <c r="F6" i="6"/>
  <c r="F9" i="6" s="1"/>
  <c r="E6" i="6"/>
  <c r="D6" i="6"/>
  <c r="D9" i="6" s="1"/>
  <c r="C6" i="6"/>
  <c r="C9" i="6" s="1"/>
  <c r="B6" i="6"/>
  <c r="B9" i="6" s="1"/>
  <c r="E36" i="5"/>
  <c r="F35" i="5"/>
  <c r="E35" i="5"/>
  <c r="D35" i="5"/>
  <c r="C35" i="5"/>
  <c r="B35" i="5"/>
  <c r="F32" i="5"/>
  <c r="F36" i="5" s="1"/>
  <c r="E32" i="5"/>
  <c r="D32" i="5"/>
  <c r="D36" i="5" s="1"/>
  <c r="C32" i="5"/>
  <c r="C36" i="5" s="1"/>
  <c r="C37" i="5" s="1"/>
  <c r="B32" i="5"/>
  <c r="B36" i="5" s="1"/>
  <c r="B37" i="5" s="1"/>
  <c r="E24" i="5"/>
  <c r="E37" i="5" s="1"/>
  <c r="C24" i="5"/>
  <c r="B24" i="5"/>
  <c r="F23" i="5"/>
  <c r="E23" i="5"/>
  <c r="D23" i="5"/>
  <c r="D24" i="5" s="1"/>
  <c r="D37" i="5" s="1"/>
  <c r="C23" i="5"/>
  <c r="B23" i="5"/>
  <c r="F13" i="5"/>
  <c r="F24" i="5" s="1"/>
  <c r="E13" i="5"/>
  <c r="D13" i="5"/>
  <c r="C13" i="5"/>
  <c r="B13" i="5"/>
  <c r="AA9" i="3"/>
  <c r="Y9" i="3"/>
  <c r="X9" i="3"/>
  <c r="W9" i="3"/>
  <c r="V9" i="3"/>
  <c r="T9" i="3"/>
  <c r="S9" i="3"/>
  <c r="R9" i="3"/>
  <c r="Q9" i="3"/>
  <c r="O9" i="3"/>
  <c r="N9" i="3"/>
  <c r="M9" i="3"/>
  <c r="L9" i="3"/>
  <c r="J9" i="3"/>
  <c r="I9" i="3"/>
  <c r="H9" i="3"/>
  <c r="G9" i="3"/>
  <c r="E9" i="3"/>
  <c r="D9" i="3"/>
  <c r="C9" i="3"/>
  <c r="B9" i="3"/>
  <c r="AA7" i="3"/>
  <c r="Y7" i="3"/>
  <c r="X7" i="3"/>
  <c r="W7" i="3"/>
  <c r="T7" i="3"/>
  <c r="S7" i="3"/>
  <c r="R7" i="3"/>
  <c r="Q7" i="3"/>
  <c r="O7" i="3"/>
  <c r="N7" i="3"/>
  <c r="M7" i="3"/>
  <c r="L7" i="3"/>
  <c r="J7" i="3"/>
  <c r="I7" i="3"/>
  <c r="H7" i="3"/>
  <c r="G7" i="3"/>
  <c r="E7" i="3"/>
  <c r="D7" i="3"/>
  <c r="C7" i="3"/>
  <c r="B7" i="3"/>
  <c r="AA5" i="3"/>
  <c r="Y5" i="3"/>
  <c r="E7" i="4" s="1"/>
  <c r="X5" i="3"/>
  <c r="D7" i="4" s="1"/>
  <c r="W5" i="3"/>
  <c r="C7" i="4" s="1"/>
  <c r="V5" i="3"/>
  <c r="B7" i="4" s="1"/>
  <c r="T5" i="3"/>
  <c r="E6" i="4" s="1"/>
  <c r="S5" i="3"/>
  <c r="D6" i="4" s="1"/>
  <c r="R5" i="3"/>
  <c r="C6" i="4" s="1"/>
  <c r="Q5" i="3"/>
  <c r="B6" i="4" s="1"/>
  <c r="O5" i="3"/>
  <c r="E5" i="4" s="1"/>
  <c r="N5" i="3"/>
  <c r="M5" i="3"/>
  <c r="D5" i="4" s="1"/>
  <c r="L5" i="3"/>
  <c r="B5" i="4" s="1"/>
  <c r="J5" i="3"/>
  <c r="E4" i="4" s="1"/>
  <c r="I5" i="3"/>
  <c r="D4" i="4" s="1"/>
  <c r="H5" i="3"/>
  <c r="C4" i="4" s="1"/>
  <c r="G5" i="3"/>
  <c r="B4" i="4" s="1"/>
  <c r="E5" i="3"/>
  <c r="E3" i="4" s="1"/>
  <c r="D5" i="3"/>
  <c r="D3" i="4" s="1"/>
  <c r="C5" i="3"/>
  <c r="C3" i="4" s="1"/>
  <c r="B5" i="3"/>
  <c r="B3" i="4" s="1"/>
  <c r="F23" i="2"/>
  <c r="E23" i="2"/>
  <c r="D23" i="2"/>
  <c r="C23" i="2"/>
  <c r="E22" i="11"/>
  <c r="D22" i="11"/>
  <c r="B6" i="2"/>
  <c r="F5" i="2"/>
  <c r="E5" i="2"/>
  <c r="E6" i="2" s="1"/>
  <c r="D5" i="2"/>
  <c r="D6" i="2" s="1"/>
  <c r="C5" i="2"/>
  <c r="B5" i="2"/>
  <c r="C12" i="13" l="1"/>
  <c r="E12" i="13" s="1"/>
  <c r="C10" i="13"/>
  <c r="E10" i="13" s="1"/>
  <c r="C5" i="4"/>
  <c r="C8" i="4" s="1"/>
  <c r="D8" i="4"/>
  <c r="B8" i="4"/>
  <c r="B16" i="3"/>
  <c r="C5" i="8"/>
  <c r="C4" i="8"/>
  <c r="E8" i="4"/>
  <c r="B22" i="11"/>
  <c r="E13" i="2"/>
  <c r="C22" i="11"/>
  <c r="C21" i="11"/>
  <c r="C17" i="2"/>
  <c r="C20" i="2" s="1"/>
  <c r="C13" i="2"/>
  <c r="C23" i="11"/>
  <c r="C11" i="13"/>
  <c r="E11" i="13" s="1"/>
  <c r="F22" i="11"/>
  <c r="F21" i="11"/>
  <c r="F17" i="2"/>
  <c r="F20" i="2" s="1"/>
  <c r="F13" i="2"/>
  <c r="F23" i="11"/>
  <c r="F25" i="11" s="1"/>
  <c r="F37" i="5"/>
  <c r="B25" i="11"/>
  <c r="C6" i="2"/>
  <c r="F6" i="2"/>
  <c r="C3" i="8"/>
  <c r="C8" i="11"/>
  <c r="D19" i="11"/>
  <c r="D23" i="11"/>
  <c r="D25" i="11" s="1"/>
  <c r="B19" i="12"/>
  <c r="E23" i="11"/>
  <c r="E25" i="11" s="1"/>
  <c r="D13" i="2"/>
  <c r="E19" i="11"/>
  <c r="C6" i="8"/>
  <c r="F19" i="11"/>
  <c r="B13" i="2"/>
  <c r="B24" i="11"/>
  <c r="B9" i="10"/>
  <c r="B17" i="2"/>
  <c r="B20" i="2" s="1"/>
  <c r="B21" i="2" s="1"/>
  <c r="E9" i="10"/>
  <c r="B21" i="11"/>
  <c r="D17" i="2"/>
  <c r="D20" i="2" s="1"/>
  <c r="E21" i="11"/>
  <c r="D21" i="11"/>
  <c r="E17" i="2"/>
  <c r="E20" i="2" s="1"/>
  <c r="B13" i="13" l="1"/>
  <c r="C13" i="13"/>
  <c r="E13" i="13"/>
  <c r="B10" i="11"/>
  <c r="B12" i="11" s="1"/>
  <c r="F10" i="11"/>
  <c r="F12" i="11" s="1"/>
  <c r="F21" i="2"/>
  <c r="C10" i="11"/>
  <c r="C12" i="11" s="1"/>
  <c r="C21" i="2"/>
  <c r="E10" i="11"/>
  <c r="E12" i="11" s="1"/>
  <c r="E21" i="2"/>
  <c r="D10" i="11"/>
  <c r="D12" i="11" s="1"/>
  <c r="D21" i="2"/>
  <c r="C25" i="11"/>
  <c r="D13" i="13" l="1"/>
  <c r="D17" i="11"/>
  <c r="D20" i="11" s="1"/>
  <c r="D16" i="11"/>
  <c r="E20" i="11"/>
  <c r="C17" i="11"/>
  <c r="C20" i="11" s="1"/>
  <c r="C16" i="11"/>
  <c r="F20" i="11"/>
  <c r="F16" i="11"/>
  <c r="B17" i="11"/>
  <c r="B20" i="11" s="1"/>
  <c r="B16" i="11"/>
</calcChain>
</file>

<file path=xl/sharedStrings.xml><?xml version="1.0" encoding="utf-8"?>
<sst xmlns="http://schemas.openxmlformats.org/spreadsheetml/2006/main" count="395" uniqueCount="319">
  <si>
    <r>
      <rPr>
        <b/>
        <sz val="13"/>
        <color rgb="FFFFFFFF"/>
        <rFont val="FreeSans"/>
        <family val="2"/>
      </rPr>
      <t xml:space="preserve">جهينة </t>
    </r>
    <r>
      <rPr>
        <b/>
        <sz val="13"/>
        <color rgb="FFFFFFFF"/>
        <rFont val="Calibri"/>
        <charset val="1"/>
      </rPr>
      <t xml:space="preserve">(JUFO) — </t>
    </r>
    <r>
      <rPr>
        <b/>
        <sz val="13"/>
        <color rgb="FFFFFFFF"/>
        <rFont val="FreeSans"/>
        <family val="2"/>
      </rPr>
      <t xml:space="preserve">قاعدة البيانات والتحليل الكاملة </t>
    </r>
    <r>
      <rPr>
        <b/>
        <sz val="13"/>
        <color rgb="FFFFFFFF"/>
        <rFont val="Calibri"/>
        <charset val="1"/>
      </rPr>
      <t>· 2021 → Q1 2026</t>
    </r>
  </si>
  <si>
    <t>دليل المراجعة</t>
  </si>
  <si>
    <r>
      <rPr>
        <b/>
        <sz val="11"/>
        <color rgb="FF000000"/>
        <rFont val="FreeSans"/>
        <family val="2"/>
      </rPr>
      <t xml:space="preserve">أزرق </t>
    </r>
    <r>
      <rPr>
        <b/>
        <sz val="11"/>
        <color rgb="FF000000"/>
        <rFont val="Calibri"/>
        <charset val="1"/>
      </rPr>
      <t xml:space="preserve">= </t>
    </r>
    <r>
      <rPr>
        <b/>
        <sz val="11"/>
        <color rgb="FF000000"/>
        <rFont val="FreeSans"/>
        <family val="2"/>
      </rPr>
      <t xml:space="preserve">رقم مُدخل من القوائم </t>
    </r>
    <r>
      <rPr>
        <b/>
        <sz val="11"/>
        <color rgb="FF000000"/>
        <rFont val="Calibri"/>
        <charset val="1"/>
      </rPr>
      <t>(</t>
    </r>
    <r>
      <rPr>
        <b/>
        <sz val="11"/>
        <color rgb="FF000000"/>
        <rFont val="FreeSans"/>
        <family val="2"/>
      </rPr>
      <t>راجِعه بالمصدر</t>
    </r>
    <r>
      <rPr>
        <b/>
        <sz val="11"/>
        <color rgb="FF000000"/>
        <rFont val="Calibri"/>
        <charset val="1"/>
      </rPr>
      <t xml:space="preserve">) · </t>
    </r>
    <r>
      <rPr>
        <b/>
        <sz val="11"/>
        <color rgb="FF000000"/>
        <rFont val="FreeSans"/>
        <family val="2"/>
      </rPr>
      <t xml:space="preserve">أسود </t>
    </r>
    <r>
      <rPr>
        <b/>
        <sz val="11"/>
        <color rgb="FF000000"/>
        <rFont val="Calibri"/>
        <charset val="1"/>
      </rPr>
      <t xml:space="preserve">= </t>
    </r>
    <r>
      <rPr>
        <b/>
        <sz val="11"/>
        <color rgb="FF000000"/>
        <rFont val="FreeSans"/>
        <family val="2"/>
      </rPr>
      <t xml:space="preserve">معادلة حية </t>
    </r>
    <r>
      <rPr>
        <b/>
        <sz val="11"/>
        <color rgb="FF000000"/>
        <rFont val="Calibri"/>
        <charset val="1"/>
      </rPr>
      <t>(</t>
    </r>
    <r>
      <rPr>
        <b/>
        <sz val="11"/>
        <color rgb="FF000000"/>
        <rFont val="FreeSans"/>
        <family val="2"/>
      </rPr>
      <t>راجِع منطقها</t>
    </r>
    <r>
      <rPr>
        <b/>
        <sz val="11"/>
        <color rgb="FF000000"/>
        <rFont val="Calibri"/>
        <charset val="1"/>
      </rPr>
      <t>)</t>
    </r>
  </si>
  <si>
    <r>
      <rPr>
        <b/>
        <sz val="10"/>
        <color rgb="FF000000"/>
        <rFont val="Calibri"/>
        <charset val="1"/>
      </rPr>
      <t xml:space="preserve">1. </t>
    </r>
    <r>
      <rPr>
        <b/>
        <sz val="10"/>
        <color rgb="FF000000"/>
        <rFont val="FreeSans"/>
        <family val="2"/>
      </rPr>
      <t>قائمة الدخل</t>
    </r>
  </si>
  <si>
    <r>
      <rPr>
        <sz val="10"/>
        <color rgb="FF000000"/>
        <rFont val="FreeSans"/>
        <family val="2"/>
      </rPr>
      <t xml:space="preserve">سنوي كامل بالجنيه </t>
    </r>
    <r>
      <rPr>
        <sz val="10"/>
        <color rgb="FF000000"/>
        <rFont val="Calibri"/>
        <charset val="1"/>
      </rPr>
      <t xml:space="preserve">+ </t>
    </r>
    <r>
      <rPr>
        <sz val="10"/>
        <color rgb="FF000000"/>
        <rFont val="FreeSans"/>
        <family val="2"/>
      </rPr>
      <t xml:space="preserve">الهوامش </t>
    </r>
    <r>
      <rPr>
        <sz val="10"/>
        <color rgb="FF000000"/>
        <rFont val="Calibri"/>
        <charset val="1"/>
      </rPr>
      <t>(</t>
    </r>
    <r>
      <rPr>
        <sz val="10"/>
        <color rgb="FF000000"/>
        <rFont val="FreeSans"/>
        <family val="2"/>
      </rPr>
      <t>معادلات</t>
    </r>
    <r>
      <rPr>
        <sz val="10"/>
        <color rgb="FF000000"/>
        <rFont val="Calibri"/>
        <charset val="1"/>
      </rPr>
      <t xml:space="preserve">) + </t>
    </r>
    <r>
      <rPr>
        <sz val="10"/>
        <color rgb="FF000000"/>
        <rFont val="FreeSans"/>
        <family val="2"/>
      </rPr>
      <t>عمود المصدر</t>
    </r>
  </si>
  <si>
    <r>
      <rPr>
        <b/>
        <sz val="10"/>
        <color rgb="FF000000"/>
        <rFont val="Calibri"/>
        <charset val="1"/>
      </rPr>
      <t xml:space="preserve">2. </t>
    </r>
    <r>
      <rPr>
        <b/>
        <sz val="10"/>
        <color rgb="FF000000"/>
        <rFont val="FreeSans"/>
        <family val="2"/>
      </rPr>
      <t>البيانات الفصلية</t>
    </r>
  </si>
  <si>
    <r>
      <rPr>
        <sz val="10"/>
        <color rgb="FF000000"/>
        <rFont val="Calibri"/>
        <charset val="1"/>
      </rPr>
      <t xml:space="preserve">21 </t>
    </r>
    <r>
      <rPr>
        <sz val="10"/>
        <color rgb="FF000000"/>
        <rFont val="FreeSans"/>
        <family val="2"/>
      </rPr>
      <t>ربعاً</t>
    </r>
    <r>
      <rPr>
        <sz val="10"/>
        <color rgb="FF000000"/>
        <rFont val="Calibri"/>
        <charset val="1"/>
      </rPr>
      <t xml:space="preserve">: </t>
    </r>
    <r>
      <rPr>
        <sz val="10"/>
        <color rgb="FF000000"/>
        <rFont val="FreeSans"/>
        <family val="2"/>
      </rPr>
      <t>إيراد</t>
    </r>
    <r>
      <rPr>
        <sz val="10"/>
        <color rgb="FF000000"/>
        <rFont val="Calibri"/>
        <charset val="1"/>
      </rPr>
      <t>/</t>
    </r>
    <r>
      <rPr>
        <sz val="10"/>
        <color rgb="FF000000"/>
        <rFont val="FreeSans"/>
        <family val="2"/>
      </rPr>
      <t>مجمل</t>
    </r>
    <r>
      <rPr>
        <sz val="10"/>
        <color rgb="FF000000"/>
        <rFont val="Calibri"/>
        <charset val="1"/>
      </rPr>
      <t>/EBITDA/</t>
    </r>
    <r>
      <rPr>
        <sz val="10"/>
        <color rgb="FF000000"/>
        <rFont val="FreeSans"/>
        <family val="2"/>
      </rPr>
      <t xml:space="preserve">صافي </t>
    </r>
    <r>
      <rPr>
        <sz val="10"/>
        <color rgb="FF000000"/>
        <rFont val="Calibri"/>
        <charset val="1"/>
      </rPr>
      <t xml:space="preserve">+ </t>
    </r>
    <r>
      <rPr>
        <sz val="10"/>
        <color rgb="FF000000"/>
        <rFont val="FreeSans"/>
        <family val="2"/>
      </rPr>
      <t>هوامش بمعادلات</t>
    </r>
  </si>
  <si>
    <r>
      <rPr>
        <b/>
        <sz val="10"/>
        <color rgb="FF000000"/>
        <rFont val="Calibri"/>
        <charset val="1"/>
      </rPr>
      <t xml:space="preserve">3. </t>
    </r>
    <r>
      <rPr>
        <b/>
        <sz val="10"/>
        <color rgb="FF000000"/>
        <rFont val="FreeSans"/>
        <family val="2"/>
      </rPr>
      <t>الموسمية</t>
    </r>
  </si>
  <si>
    <r>
      <rPr>
        <sz val="10"/>
        <color rgb="FF000000"/>
        <rFont val="FreeSans"/>
        <family val="2"/>
      </rPr>
      <t xml:space="preserve">مصفوفة الهامش بالأرباع </t>
    </r>
    <r>
      <rPr>
        <sz val="10"/>
        <color rgb="FF000000"/>
        <rFont val="Calibri"/>
        <charset val="1"/>
      </rPr>
      <t xml:space="preserve">+ </t>
    </r>
    <r>
      <rPr>
        <sz val="10"/>
        <color rgb="FF000000"/>
        <rFont val="FreeSans"/>
        <family val="2"/>
      </rPr>
      <t>عمود ربع رمضان</t>
    </r>
  </si>
  <si>
    <r>
      <rPr>
        <b/>
        <sz val="10"/>
        <color rgb="FF000000"/>
        <rFont val="Calibri"/>
        <charset val="1"/>
      </rPr>
      <t xml:space="preserve">4. </t>
    </r>
    <r>
      <rPr>
        <b/>
        <sz val="10"/>
        <color rgb="FF000000"/>
        <rFont val="FreeSans"/>
        <family val="2"/>
      </rPr>
      <t>المركز المالي</t>
    </r>
  </si>
  <si>
    <t>الميزانية كاملة — المجاميع معادلات والتوازن مُتحقق</t>
  </si>
  <si>
    <r>
      <rPr>
        <b/>
        <sz val="10"/>
        <color rgb="FF000000"/>
        <rFont val="Calibri"/>
        <charset val="1"/>
      </rPr>
      <t xml:space="preserve">5. </t>
    </r>
    <r>
      <rPr>
        <b/>
        <sz val="10"/>
        <color rgb="FF000000"/>
        <rFont val="FreeSans"/>
        <family val="2"/>
      </rPr>
      <t>التدفقات النقدية</t>
    </r>
  </si>
  <si>
    <r>
      <rPr>
        <sz val="10"/>
        <color rgb="FF000000"/>
        <rFont val="FreeSans"/>
        <family val="2"/>
      </rPr>
      <t>تشغيلي</t>
    </r>
    <r>
      <rPr>
        <sz val="10"/>
        <color rgb="FF000000"/>
        <rFont val="Calibri"/>
        <charset val="1"/>
      </rPr>
      <t>/</t>
    </r>
    <r>
      <rPr>
        <sz val="10"/>
        <color rgb="FF000000"/>
        <rFont val="FreeSans"/>
        <family val="2"/>
      </rPr>
      <t>استثماري</t>
    </r>
    <r>
      <rPr>
        <sz val="10"/>
        <color rgb="FF000000"/>
        <rFont val="Calibri"/>
        <charset val="1"/>
      </rPr>
      <t>/</t>
    </r>
    <r>
      <rPr>
        <sz val="10"/>
        <color rgb="FF000000"/>
        <rFont val="FreeSans"/>
        <family val="2"/>
      </rPr>
      <t xml:space="preserve">تمويلي </t>
    </r>
    <r>
      <rPr>
        <sz val="10"/>
        <color rgb="FF000000"/>
        <rFont val="Calibri"/>
        <charset val="1"/>
      </rPr>
      <t xml:space="preserve">+ </t>
    </r>
    <r>
      <rPr>
        <sz val="10"/>
        <color rgb="FF000000"/>
        <rFont val="FreeSans"/>
        <family val="2"/>
      </rPr>
      <t>تسوية النقدية معادلة</t>
    </r>
  </si>
  <si>
    <r>
      <rPr>
        <b/>
        <sz val="10"/>
        <color rgb="FF000000"/>
        <rFont val="Calibri"/>
        <charset val="1"/>
      </rPr>
      <t xml:space="preserve">6. </t>
    </r>
    <r>
      <rPr>
        <b/>
        <sz val="10"/>
        <color rgb="FF000000"/>
        <rFont val="FreeSans"/>
        <family val="2"/>
      </rPr>
      <t>رأس المال العامل</t>
    </r>
  </si>
  <si>
    <r>
      <rPr>
        <sz val="10"/>
        <color rgb="FF000000"/>
        <rFont val="Calibri"/>
        <charset val="1"/>
      </rPr>
      <t xml:space="preserve">DIO/DSO/DPO/CCC </t>
    </r>
    <r>
      <rPr>
        <sz val="10"/>
        <color rgb="FF000000"/>
        <rFont val="FreeSans"/>
        <family val="2"/>
      </rPr>
      <t xml:space="preserve">معادلات — دائنون حقيقيون </t>
    </r>
    <r>
      <rPr>
        <sz val="10"/>
        <color rgb="FF000000"/>
        <rFont val="Calibri"/>
        <charset val="1"/>
      </rPr>
      <t>2021-2024</t>
    </r>
  </si>
  <si>
    <r>
      <rPr>
        <b/>
        <sz val="10"/>
        <color rgb="FF000000"/>
        <rFont val="Calibri"/>
        <charset val="1"/>
      </rPr>
      <t xml:space="preserve">7. </t>
    </r>
    <r>
      <rPr>
        <b/>
        <sz val="10"/>
        <color rgb="FF000000"/>
        <rFont val="FreeSans"/>
        <family val="2"/>
      </rPr>
      <t>تشريح الإيراد</t>
    </r>
  </si>
  <si>
    <r>
      <rPr>
        <sz val="10"/>
        <color rgb="FF000000"/>
        <rFont val="FreeSans"/>
        <family val="2"/>
      </rPr>
      <t xml:space="preserve">القطاعات </t>
    </r>
    <r>
      <rPr>
        <sz val="10"/>
        <color rgb="FF000000"/>
        <rFont val="Calibri"/>
        <charset val="1"/>
      </rPr>
      <t xml:space="preserve">+ </t>
    </r>
    <r>
      <rPr>
        <sz val="10"/>
        <color rgb="FF000000"/>
        <rFont val="FreeSans"/>
        <family val="2"/>
      </rPr>
      <t>محلي</t>
    </r>
    <r>
      <rPr>
        <sz val="10"/>
        <color rgb="FF000000"/>
        <rFont val="Calibri"/>
        <charset val="1"/>
      </rPr>
      <t>/</t>
    </r>
    <r>
      <rPr>
        <sz val="10"/>
        <color rgb="FF000000"/>
        <rFont val="FreeSans"/>
        <family val="2"/>
      </rPr>
      <t xml:space="preserve">تصدير </t>
    </r>
    <r>
      <rPr>
        <sz val="10"/>
        <color rgb="FF000000"/>
        <rFont val="Calibri"/>
        <charset val="1"/>
      </rPr>
      <t xml:space="preserve">+ </t>
    </r>
    <r>
      <rPr>
        <sz val="10"/>
        <color rgb="FF000000"/>
        <rFont val="FreeSans"/>
        <family val="2"/>
      </rPr>
      <t>محركات النمو</t>
    </r>
  </si>
  <si>
    <r>
      <rPr>
        <b/>
        <sz val="10"/>
        <color rgb="FF000000"/>
        <rFont val="Calibri"/>
        <charset val="1"/>
      </rPr>
      <t xml:space="preserve">8. </t>
    </r>
    <r>
      <rPr>
        <b/>
        <sz val="10"/>
        <color rgb="FF000000"/>
        <rFont val="FreeSans"/>
        <family val="2"/>
      </rPr>
      <t>تشريح التكاليف</t>
    </r>
  </si>
  <si>
    <r>
      <rPr>
        <sz val="10"/>
        <color rgb="FF000000"/>
        <rFont val="FreeSans"/>
        <family val="2"/>
      </rPr>
      <t xml:space="preserve">إيضاح </t>
    </r>
    <r>
      <rPr>
        <sz val="10"/>
        <color rgb="FF000000"/>
        <rFont val="Calibri"/>
        <charset val="1"/>
      </rPr>
      <t>4 (</t>
    </r>
    <r>
      <rPr>
        <sz val="10"/>
        <color rgb="FF000000"/>
        <rFont val="FreeSans"/>
        <family val="2"/>
      </rPr>
      <t xml:space="preserve">مكونات </t>
    </r>
    <r>
      <rPr>
        <sz val="10"/>
        <color rgb="FF000000"/>
        <rFont val="Calibri"/>
        <charset val="1"/>
      </rPr>
      <t xml:space="preserve">COGS) + </t>
    </r>
    <r>
      <rPr>
        <sz val="10"/>
        <color rgb="FF000000"/>
        <rFont val="FreeSans"/>
        <family val="2"/>
      </rPr>
      <t xml:space="preserve">إيضاح </t>
    </r>
    <r>
      <rPr>
        <sz val="10"/>
        <color rgb="FF000000"/>
        <rFont val="Calibri"/>
        <charset val="1"/>
      </rPr>
      <t>17 (</t>
    </r>
    <r>
      <rPr>
        <sz val="10"/>
        <color rgb="FF000000"/>
        <rFont val="FreeSans"/>
        <family val="2"/>
      </rPr>
      <t>المخزون</t>
    </r>
    <r>
      <rPr>
        <sz val="10"/>
        <color rgb="FF000000"/>
        <rFont val="Calibri"/>
        <charset val="1"/>
      </rPr>
      <t>)</t>
    </r>
  </si>
  <si>
    <r>
      <rPr>
        <b/>
        <sz val="10"/>
        <color rgb="FF000000"/>
        <rFont val="Calibri"/>
        <charset val="1"/>
      </rPr>
      <t xml:space="preserve">9. </t>
    </r>
    <r>
      <rPr>
        <b/>
        <sz val="10"/>
        <color rgb="FF000000"/>
        <rFont val="FreeSans"/>
        <family val="2"/>
      </rPr>
      <t>فروق العملة</t>
    </r>
  </si>
  <si>
    <r>
      <rPr>
        <sz val="10"/>
        <color rgb="FF000000"/>
        <rFont val="FreeSans"/>
        <family val="2"/>
      </rPr>
      <t>الظاهر</t>
    </r>
    <r>
      <rPr>
        <sz val="10"/>
        <color rgb="FF000000"/>
        <rFont val="Calibri"/>
        <charset val="1"/>
      </rPr>
      <t>/</t>
    </r>
    <r>
      <rPr>
        <sz val="10"/>
        <color rgb="FF000000"/>
        <rFont val="FreeSans"/>
        <family val="2"/>
      </rPr>
      <t xml:space="preserve">المخفي </t>
    </r>
    <r>
      <rPr>
        <sz val="10"/>
        <color rgb="FF000000"/>
        <rFont val="Calibri"/>
        <charset val="1"/>
      </rPr>
      <t xml:space="preserve">+ </t>
    </r>
    <r>
      <rPr>
        <sz val="10"/>
        <color rgb="FF000000"/>
        <rFont val="FreeSans"/>
        <family val="2"/>
      </rPr>
      <t xml:space="preserve">الربح المعلَن مقابل المعدّل </t>
    </r>
    <r>
      <rPr>
        <sz val="10"/>
        <color rgb="FF000000"/>
        <rFont val="Calibri"/>
        <charset val="1"/>
      </rPr>
      <t>(</t>
    </r>
    <r>
      <rPr>
        <sz val="10"/>
        <color rgb="FF000000"/>
        <rFont val="FreeSans"/>
        <family val="2"/>
      </rPr>
      <t>معادلات</t>
    </r>
    <r>
      <rPr>
        <sz val="10"/>
        <color rgb="FF000000"/>
        <rFont val="Calibri"/>
        <charset val="1"/>
      </rPr>
      <t>)</t>
    </r>
  </si>
  <si>
    <r>
      <rPr>
        <b/>
        <sz val="10"/>
        <color rgb="FF000000"/>
        <rFont val="Calibri"/>
        <charset val="1"/>
      </rPr>
      <t xml:space="preserve">10. </t>
    </r>
    <r>
      <rPr>
        <b/>
        <sz val="10"/>
        <color rgb="FF000000"/>
        <rFont val="FreeSans"/>
        <family val="2"/>
      </rPr>
      <t>الرفع والعوائد</t>
    </r>
  </si>
  <si>
    <r>
      <rPr>
        <sz val="10"/>
        <color rgb="FF000000"/>
        <rFont val="FreeSans"/>
        <family val="2"/>
      </rPr>
      <t xml:space="preserve">صافي الدين، التغطية، </t>
    </r>
    <r>
      <rPr>
        <sz val="10"/>
        <color rgb="FF000000"/>
        <rFont val="Calibri"/>
        <charset val="1"/>
      </rPr>
      <t xml:space="preserve">ROE/DuPont/ROIC — </t>
    </r>
    <r>
      <rPr>
        <sz val="10"/>
        <color rgb="FF000000"/>
        <rFont val="FreeSans"/>
        <family val="2"/>
      </rPr>
      <t>كله معادلات</t>
    </r>
  </si>
  <si>
    <r>
      <rPr>
        <b/>
        <sz val="10"/>
        <color rgb="FF000000"/>
        <rFont val="Calibri"/>
        <charset val="1"/>
      </rPr>
      <t xml:space="preserve">11. </t>
    </r>
    <r>
      <rPr>
        <b/>
        <sz val="10"/>
        <color rgb="FF000000"/>
        <rFont val="FreeSans"/>
        <family val="2"/>
      </rPr>
      <t>التقييم</t>
    </r>
  </si>
  <si>
    <t>السعر خلية زرقاء تتعدل → كل المضاعفات تتحدث تلقائياً</t>
  </si>
  <si>
    <r>
      <rPr>
        <b/>
        <sz val="10"/>
        <color rgb="FF000000"/>
        <rFont val="Calibri"/>
        <charset val="1"/>
      </rPr>
      <t xml:space="preserve">12. </t>
    </r>
    <r>
      <rPr>
        <b/>
        <sz val="10"/>
        <color rgb="FF000000"/>
        <rFont val="FreeSans"/>
        <family val="2"/>
      </rPr>
      <t xml:space="preserve">توقّع </t>
    </r>
    <r>
      <rPr>
        <b/>
        <sz val="10"/>
        <color rgb="FF000000"/>
        <rFont val="Calibri"/>
        <charset val="1"/>
      </rPr>
      <t>2026</t>
    </r>
  </si>
  <si>
    <r>
      <rPr>
        <sz val="10"/>
        <color rgb="FF000000"/>
        <rFont val="FreeSans"/>
        <family val="2"/>
      </rPr>
      <t xml:space="preserve">سيناريوهات </t>
    </r>
    <r>
      <rPr>
        <sz val="10"/>
        <color rgb="FF000000"/>
        <rFont val="Calibri"/>
        <charset val="1"/>
      </rPr>
      <t xml:space="preserve">+ </t>
    </r>
    <r>
      <rPr>
        <sz val="10"/>
        <color rgb="FF000000"/>
        <rFont val="FreeSans"/>
        <family val="2"/>
      </rPr>
      <t xml:space="preserve">توزيع ربعي مرساه </t>
    </r>
    <r>
      <rPr>
        <sz val="10"/>
        <color rgb="FF000000"/>
        <rFont val="Calibri"/>
        <charset val="1"/>
      </rPr>
      <t xml:space="preserve">Q1 </t>
    </r>
    <r>
      <rPr>
        <sz val="10"/>
        <color rgb="FF000000"/>
        <rFont val="FreeSans"/>
        <family val="2"/>
      </rPr>
      <t>الفعلي</t>
    </r>
  </si>
  <si>
    <r>
      <rPr>
        <b/>
        <sz val="10"/>
        <color rgb="FF000000"/>
        <rFont val="Calibri"/>
        <charset val="1"/>
      </rPr>
      <t xml:space="preserve">13. </t>
    </r>
    <r>
      <rPr>
        <b/>
        <sz val="10"/>
        <color rgb="FF000000"/>
        <rFont val="FreeSans"/>
        <family val="2"/>
      </rPr>
      <t>تصريحات الإدارة</t>
    </r>
  </si>
  <si>
    <t>الاكتشافات الموثقة من نتائج الأعمال</t>
  </si>
  <si>
    <r>
      <rPr>
        <b/>
        <sz val="11"/>
        <color rgb="FF000000"/>
        <rFont val="FreeSans"/>
        <family val="2"/>
      </rPr>
      <t xml:space="preserve">البند </t>
    </r>
    <r>
      <rPr>
        <b/>
        <sz val="11"/>
        <color rgb="FF000000"/>
        <rFont val="Calibri"/>
        <charset val="1"/>
      </rPr>
      <t>(</t>
    </r>
    <r>
      <rPr>
        <b/>
        <sz val="11"/>
        <color rgb="FF000000"/>
        <rFont val="FreeSans"/>
        <family val="2"/>
      </rPr>
      <t>ج</t>
    </r>
    <r>
      <rPr>
        <b/>
        <sz val="11"/>
        <color rgb="FF000000"/>
        <rFont val="Calibri"/>
        <charset val="1"/>
      </rPr>
      <t>.</t>
    </r>
    <r>
      <rPr>
        <b/>
        <sz val="11"/>
        <color rgb="FF000000"/>
        <rFont val="FreeSans"/>
        <family val="2"/>
      </rPr>
      <t>م</t>
    </r>
    <r>
      <rPr>
        <b/>
        <sz val="11"/>
        <color rgb="FF000000"/>
        <rFont val="Calibri"/>
        <charset val="1"/>
      </rPr>
      <t>)</t>
    </r>
  </si>
  <si>
    <t>2021</t>
  </si>
  <si>
    <t>2022</t>
  </si>
  <si>
    <t>2023</t>
  </si>
  <si>
    <t>2024</t>
  </si>
  <si>
    <t>2025</t>
  </si>
  <si>
    <t>المصدر</t>
  </si>
  <si>
    <t>صافي المبيعات</t>
  </si>
  <si>
    <t>قوائم مجمعة معتمدة</t>
  </si>
  <si>
    <t>تكلفة المبيعات</t>
  </si>
  <si>
    <t>قائمة الدخل</t>
  </si>
  <si>
    <t>مجمل الربح</t>
  </si>
  <si>
    <r>
      <rPr>
        <sz val="8"/>
        <color rgb="FF6E6E6E"/>
        <rFont val="FreeSans"/>
        <family val="2"/>
      </rPr>
      <t xml:space="preserve">مبيعات </t>
    </r>
    <r>
      <rPr>
        <sz val="8"/>
        <color rgb="FF6E6E6E"/>
        <rFont val="Calibri"/>
        <charset val="1"/>
      </rPr>
      <t xml:space="preserve">+ </t>
    </r>
    <r>
      <rPr>
        <sz val="8"/>
        <color rgb="FF6E6E6E"/>
        <rFont val="FreeSans"/>
        <family val="2"/>
      </rPr>
      <t>تكلفة</t>
    </r>
  </si>
  <si>
    <r>
      <rPr>
        <b/>
        <sz val="10"/>
        <color rgb="FF000000"/>
        <rFont val="FreeSans"/>
        <family val="2"/>
      </rPr>
      <t xml:space="preserve">هامش مجمل الربح </t>
    </r>
    <r>
      <rPr>
        <b/>
        <sz val="10"/>
        <color rgb="FF000000"/>
        <rFont val="Calibri"/>
        <charset val="1"/>
      </rPr>
      <t>%</t>
    </r>
  </si>
  <si>
    <r>
      <rPr>
        <sz val="8"/>
        <color rgb="FF6E6E6E"/>
        <rFont val="FreeSans"/>
        <family val="2"/>
      </rPr>
      <t xml:space="preserve">مجمل </t>
    </r>
    <r>
      <rPr>
        <sz val="8"/>
        <color rgb="FF6E6E6E"/>
        <rFont val="Calibri"/>
        <charset val="1"/>
      </rPr>
      <t xml:space="preserve">÷ </t>
    </r>
    <r>
      <rPr>
        <sz val="8"/>
        <color rgb="FF6E6E6E"/>
        <rFont val="FreeSans"/>
        <family val="2"/>
      </rPr>
      <t>مبيعات</t>
    </r>
  </si>
  <si>
    <t>إيرادات تشغيلية أخرى</t>
  </si>
  <si>
    <t>مصروفات بيع وتسويق</t>
  </si>
  <si>
    <t>مصروفات عمومية وإدارية</t>
  </si>
  <si>
    <r>
      <rPr>
        <sz val="10"/>
        <color rgb="FF000000"/>
        <rFont val="FreeSans"/>
        <family val="2"/>
      </rPr>
      <t>مصروفات أخرى</t>
    </r>
    <r>
      <rPr>
        <sz val="10"/>
        <color rgb="FF000000"/>
        <rFont val="Calibri"/>
        <charset val="1"/>
      </rPr>
      <t>/</t>
    </r>
    <r>
      <rPr>
        <sz val="10"/>
        <color rgb="FF000000"/>
        <rFont val="FreeSans"/>
        <family val="2"/>
      </rPr>
      <t>خ</t>
    </r>
    <r>
      <rPr>
        <sz val="10"/>
        <color rgb="FF000000"/>
        <rFont val="Calibri"/>
        <charset val="1"/>
      </rPr>
      <t>.</t>
    </r>
    <r>
      <rPr>
        <sz val="10"/>
        <color rgb="FF000000"/>
        <rFont val="FreeSans"/>
        <family val="2"/>
      </rPr>
      <t>ائتمانية</t>
    </r>
  </si>
  <si>
    <r>
      <rPr>
        <sz val="8"/>
        <color rgb="FF6E6E6E"/>
        <rFont val="FreeSans"/>
        <family val="2"/>
      </rPr>
      <t>ق</t>
    </r>
    <r>
      <rPr>
        <sz val="8"/>
        <color rgb="FF6E6E6E"/>
        <rFont val="Calibri"/>
        <charset val="1"/>
      </rPr>
      <t>.</t>
    </r>
    <r>
      <rPr>
        <sz val="8"/>
        <color rgb="FF6E6E6E"/>
        <rFont val="FreeSans"/>
        <family val="2"/>
      </rPr>
      <t xml:space="preserve">الدخل </t>
    </r>
    <r>
      <rPr>
        <sz val="8"/>
        <color rgb="FF6E6E6E"/>
        <rFont val="Calibri"/>
        <charset val="1"/>
      </rPr>
      <t xml:space="preserve">(2023 </t>
    </r>
    <r>
      <rPr>
        <sz val="8"/>
        <color rgb="FF6E6E6E"/>
        <rFont val="FreeSans"/>
        <family val="2"/>
      </rPr>
      <t>بالفرق للمطابقة</t>
    </r>
    <r>
      <rPr>
        <sz val="8"/>
        <color rgb="FF6E6E6E"/>
        <rFont val="Calibri"/>
        <charset val="1"/>
      </rPr>
      <t>)</t>
    </r>
  </si>
  <si>
    <t>نتائج الأنشطة التشغيلية</t>
  </si>
  <si>
    <t>مجموع البنود أعلاه</t>
  </si>
  <si>
    <r>
      <rPr>
        <b/>
        <sz val="10"/>
        <color rgb="FF000000"/>
        <rFont val="FreeSans"/>
        <family val="2"/>
      </rPr>
      <t xml:space="preserve">الهامش التشغيلي </t>
    </r>
    <r>
      <rPr>
        <b/>
        <sz val="10"/>
        <color rgb="FF000000"/>
        <rFont val="Calibri"/>
        <charset val="1"/>
      </rPr>
      <t>%</t>
    </r>
  </si>
  <si>
    <r>
      <rPr>
        <sz val="8"/>
        <color rgb="FF6E6E6E"/>
        <rFont val="FreeSans"/>
        <family val="2"/>
      </rPr>
      <t xml:space="preserve">تشغيلي </t>
    </r>
    <r>
      <rPr>
        <sz val="8"/>
        <color rgb="FF6E6E6E"/>
        <rFont val="Calibri"/>
        <charset val="1"/>
      </rPr>
      <t xml:space="preserve">÷ </t>
    </r>
    <r>
      <rPr>
        <sz val="8"/>
        <color rgb="FF6E6E6E"/>
        <rFont val="FreeSans"/>
        <family val="2"/>
      </rPr>
      <t>مبيعات</t>
    </r>
  </si>
  <si>
    <t>نصيب شركات حقوق الملكية</t>
  </si>
  <si>
    <t>صافي تكلفة التمويل</t>
  </si>
  <si>
    <r>
      <rPr>
        <sz val="8"/>
        <color rgb="FF6E6E6E"/>
        <rFont val="FreeSans"/>
        <family val="2"/>
      </rPr>
      <t xml:space="preserve">إيضاح </t>
    </r>
    <r>
      <rPr>
        <sz val="8"/>
        <color rgb="FF6E6E6E"/>
        <rFont val="Calibri"/>
        <charset val="1"/>
      </rPr>
      <t>9</t>
    </r>
  </si>
  <si>
    <t>خسارة بيع استثمار</t>
  </si>
  <si>
    <t>الربح قبل الضرائب</t>
  </si>
  <si>
    <t>معادلة</t>
  </si>
  <si>
    <t>ضريبة الدخل</t>
  </si>
  <si>
    <r>
      <rPr>
        <sz val="10"/>
        <color rgb="FF000000"/>
        <rFont val="FreeSans"/>
        <family val="2"/>
      </rPr>
      <t>تسوية ضريبية</t>
    </r>
    <r>
      <rPr>
        <sz val="10"/>
        <color rgb="FF000000"/>
        <rFont val="Calibri"/>
        <charset val="1"/>
      </rPr>
      <t>/</t>
    </r>
    <r>
      <rPr>
        <sz val="10"/>
        <color rgb="FF000000"/>
        <rFont val="FreeSans"/>
        <family val="2"/>
      </rPr>
      <t>مؤجلة</t>
    </r>
  </si>
  <si>
    <r>
      <rPr>
        <sz val="8"/>
        <color rgb="FF6E6E6E"/>
        <rFont val="FreeSans"/>
        <family val="2"/>
      </rPr>
      <t xml:space="preserve">لمطابقة المعلَن </t>
    </r>
    <r>
      <rPr>
        <sz val="8"/>
        <color rgb="FF6E6E6E"/>
        <rFont val="Calibri"/>
        <charset val="1"/>
      </rPr>
      <t>(EPS 0.68)</t>
    </r>
  </si>
  <si>
    <t>صافي الربح بعد الضرائب</t>
  </si>
  <si>
    <r>
      <rPr>
        <b/>
        <sz val="10"/>
        <color rgb="FF000000"/>
        <rFont val="FreeSans"/>
        <family val="2"/>
      </rPr>
      <t xml:space="preserve">هامش صافي الربح </t>
    </r>
    <r>
      <rPr>
        <b/>
        <sz val="10"/>
        <color rgb="FF000000"/>
        <rFont val="Calibri"/>
        <charset val="1"/>
      </rPr>
      <t>%</t>
    </r>
  </si>
  <si>
    <r>
      <rPr>
        <sz val="8"/>
        <color rgb="FF6E6E6E"/>
        <rFont val="FreeSans"/>
        <family val="2"/>
      </rPr>
      <t xml:space="preserve">صافي </t>
    </r>
    <r>
      <rPr>
        <sz val="8"/>
        <color rgb="FF6E6E6E"/>
        <rFont val="Calibri"/>
        <charset val="1"/>
      </rPr>
      <t xml:space="preserve">÷ </t>
    </r>
    <r>
      <rPr>
        <sz val="8"/>
        <color rgb="FF6E6E6E"/>
        <rFont val="FreeSans"/>
        <family val="2"/>
      </rPr>
      <t>مبيعات</t>
    </r>
  </si>
  <si>
    <r>
      <rPr>
        <sz val="10"/>
        <color rgb="FF000000"/>
        <rFont val="Calibri"/>
        <charset val="1"/>
      </rPr>
      <t>EBITDA (</t>
    </r>
    <r>
      <rPr>
        <sz val="10"/>
        <color rgb="FF000000"/>
        <rFont val="FreeSans"/>
        <family val="2"/>
      </rPr>
      <t>مليون</t>
    </r>
    <r>
      <rPr>
        <sz val="10"/>
        <color rgb="FF000000"/>
        <rFont val="Calibri"/>
        <charset val="1"/>
      </rPr>
      <t>)</t>
    </r>
  </si>
  <si>
    <t>نتائج الأعمال</t>
  </si>
  <si>
    <r>
      <rPr>
        <b/>
        <sz val="10"/>
        <color rgb="FF000000"/>
        <rFont val="FreeSans"/>
        <family val="2"/>
      </rPr>
      <t xml:space="preserve">نمو المبيعات </t>
    </r>
    <r>
      <rPr>
        <b/>
        <sz val="10"/>
        <color rgb="FF000000"/>
        <rFont val="Calibri"/>
        <charset val="1"/>
      </rPr>
      <t>%</t>
    </r>
  </si>
  <si>
    <t>-</t>
  </si>
  <si>
    <r>
      <rPr>
        <sz val="8"/>
        <color rgb="FF6E6E6E"/>
        <rFont val="FreeSans"/>
        <family val="2"/>
      </rPr>
      <t xml:space="preserve">سنة </t>
    </r>
    <r>
      <rPr>
        <sz val="8"/>
        <color rgb="FF6E6E6E"/>
        <rFont val="Calibri"/>
        <charset val="1"/>
      </rPr>
      <t xml:space="preserve">÷ </t>
    </r>
    <r>
      <rPr>
        <sz val="8"/>
        <color rgb="FF6E6E6E"/>
        <rFont val="FreeSans"/>
        <family val="2"/>
      </rPr>
      <t>سابقتها −</t>
    </r>
    <r>
      <rPr>
        <sz val="8"/>
        <color rgb="FF6E6E6E"/>
        <rFont val="Calibri"/>
        <charset val="1"/>
      </rPr>
      <t>1</t>
    </r>
  </si>
  <si>
    <r>
      <rPr>
        <i/>
        <sz val="9"/>
        <color rgb="FFC0392B"/>
        <rFont val="Calibri"/>
        <charset val="1"/>
      </rPr>
      <t xml:space="preserve">⚠️ 2024-2025: </t>
    </r>
    <r>
      <rPr>
        <i/>
        <sz val="9"/>
        <color rgb="FFC0392B"/>
        <rFont val="FreeSans"/>
        <family val="2"/>
      </rPr>
      <t xml:space="preserve">خسائر عملة </t>
    </r>
    <r>
      <rPr>
        <i/>
        <sz val="9"/>
        <color rgb="FFC0392B"/>
        <rFont val="Calibri"/>
        <charset val="1"/>
      </rPr>
      <t>(344.8</t>
    </r>
    <r>
      <rPr>
        <i/>
        <sz val="9"/>
        <color rgb="FFC0392B"/>
        <rFont val="FreeSans"/>
        <family val="2"/>
      </rPr>
      <t>م</t>
    </r>
    <r>
      <rPr>
        <i/>
        <sz val="9"/>
        <color rgb="FFC0392B"/>
        <rFont val="Calibri"/>
        <charset val="1"/>
      </rPr>
      <t>/348</t>
    </r>
    <r>
      <rPr>
        <i/>
        <sz val="9"/>
        <color rgb="FFC0392B"/>
        <rFont val="FreeSans"/>
        <family val="2"/>
      </rPr>
      <t>م</t>
    </r>
    <r>
      <rPr>
        <i/>
        <sz val="9"/>
        <color rgb="FFC0392B"/>
        <rFont val="Calibri"/>
        <charset val="1"/>
      </rPr>
      <t xml:space="preserve">) </t>
    </r>
    <r>
      <rPr>
        <i/>
        <sz val="9"/>
        <color rgb="FFC0392B"/>
        <rFont val="FreeSans"/>
        <family val="2"/>
      </rPr>
      <t xml:space="preserve">حُوّلت للدخل الشامل </t>
    </r>
    <r>
      <rPr>
        <i/>
        <sz val="9"/>
        <color rgb="FFC0392B"/>
        <rFont val="Calibri"/>
        <charset val="1"/>
      </rPr>
      <t xml:space="preserve">(EAS 13) — </t>
    </r>
    <r>
      <rPr>
        <i/>
        <sz val="9"/>
        <color rgb="FFC0392B"/>
        <rFont val="FreeSans"/>
        <family val="2"/>
      </rPr>
      <t xml:space="preserve">الربح هنا </t>
    </r>
    <r>
      <rPr>
        <i/>
        <sz val="9"/>
        <color rgb="FFC0392B"/>
        <rFont val="Calibri"/>
        <charset val="1"/>
      </rPr>
      <t>"</t>
    </r>
    <r>
      <rPr>
        <i/>
        <sz val="9"/>
        <color rgb="FFC0392B"/>
        <rFont val="FreeSans"/>
        <family val="2"/>
      </rPr>
      <t>معلَن</t>
    </r>
    <r>
      <rPr>
        <i/>
        <sz val="9"/>
        <color rgb="FFC0392B"/>
        <rFont val="Calibri"/>
        <charset val="1"/>
      </rPr>
      <t>"</t>
    </r>
    <r>
      <rPr>
        <i/>
        <sz val="9"/>
        <color rgb="FFC0392B"/>
        <rFont val="FreeSans"/>
        <family val="2"/>
      </rPr>
      <t>؛ المعدّل في شيت فروق العملة</t>
    </r>
    <r>
      <rPr>
        <i/>
        <sz val="9"/>
        <color rgb="FFC0392B"/>
        <rFont val="Calibri"/>
        <charset val="1"/>
      </rPr>
      <t xml:space="preserve">. 2025 </t>
    </r>
    <r>
      <rPr>
        <i/>
        <sz val="9"/>
        <color rgb="FFC0392B"/>
        <rFont val="FreeSans"/>
        <family val="2"/>
      </rPr>
      <t xml:space="preserve">أول سنة بعد اندماج </t>
    </r>
    <r>
      <rPr>
        <i/>
        <sz val="9"/>
        <color rgb="FFC0392B"/>
        <rFont val="Calibri"/>
        <charset val="1"/>
      </rPr>
      <t xml:space="preserve">4 </t>
    </r>
    <r>
      <rPr>
        <i/>
        <sz val="9"/>
        <color rgb="FFC0392B"/>
        <rFont val="FreeSans"/>
        <family val="2"/>
      </rPr>
      <t>شركات تابعة</t>
    </r>
    <r>
      <rPr>
        <i/>
        <sz val="9"/>
        <color rgb="FFC0392B"/>
        <rFont val="Calibri"/>
        <charset val="1"/>
      </rPr>
      <t>.</t>
    </r>
  </si>
  <si>
    <t>البند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</si>
  <si>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</si>
  <si>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</si>
  <si>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</si>
  <si>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</si>
  <si>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</si>
  <si>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</si>
  <si>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</si>
  <si>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</si>
  <si>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</si>
  <si>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</si>
  <si>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</si>
  <si>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</si>
  <si>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</si>
  <si>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</si>
  <si>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</si>
  <si>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</si>
  <si>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2Q25</t>
  </si>
  <si>
    <t>3Q25</t>
  </si>
  <si>
    <t>4Q25</t>
  </si>
  <si>
    <t>1Q26</t>
  </si>
  <si>
    <r>
      <rPr>
        <b/>
        <sz val="10"/>
        <color rgb="FF000000"/>
        <rFont val="FreeSans"/>
        <family val="2"/>
      </rPr>
      <t xml:space="preserve">هامش مجمل </t>
    </r>
    <r>
      <rPr>
        <b/>
        <sz val="10"/>
        <color rgb="FF000000"/>
        <rFont val="Calibri"/>
        <charset val="1"/>
      </rPr>
      <t>%</t>
    </r>
  </si>
  <si>
    <t>EBITDA</t>
  </si>
  <si>
    <r>
      <rPr>
        <b/>
        <sz val="10"/>
        <color rgb="FF000000"/>
        <rFont val="FreeSans"/>
        <family val="2"/>
      </rPr>
      <t xml:space="preserve">هامش </t>
    </r>
    <r>
      <rPr>
        <b/>
        <sz val="10"/>
        <color rgb="FF000000"/>
        <rFont val="Calibri"/>
        <charset val="1"/>
      </rPr>
      <t>EBITDA %</t>
    </r>
  </si>
  <si>
    <t>صافي الربح</t>
  </si>
  <si>
    <r>
      <rPr>
        <b/>
        <sz val="10"/>
        <color rgb="FF000000"/>
        <rFont val="FreeSans"/>
        <family val="2"/>
      </rPr>
      <t xml:space="preserve">هامش صافي </t>
    </r>
    <r>
      <rPr>
        <b/>
        <sz val="10"/>
        <color rgb="FF000000"/>
        <rFont val="Calibri"/>
        <charset val="1"/>
      </rPr>
      <t>%</t>
    </r>
  </si>
  <si>
    <r>
      <rPr>
        <i/>
        <sz val="9"/>
        <color rgb="FF6E6E6E"/>
        <rFont val="FreeSans"/>
        <family val="2"/>
      </rPr>
      <t xml:space="preserve">أرقام </t>
    </r>
    <r>
      <rPr>
        <i/>
        <sz val="9"/>
        <color rgb="FF6E6E6E"/>
        <rFont val="Calibri"/>
        <charset val="1"/>
      </rPr>
      <t xml:space="preserve">2025 </t>
    </r>
    <r>
      <rPr>
        <i/>
        <sz val="9"/>
        <color rgb="FF6E6E6E"/>
        <rFont val="FreeSans"/>
        <family val="2"/>
      </rPr>
      <t xml:space="preserve">من نتائج الأعمال </t>
    </r>
    <r>
      <rPr>
        <i/>
        <sz val="9"/>
        <color rgb="FF6E6E6E"/>
        <rFont val="Calibri"/>
        <charset val="1"/>
      </rPr>
      <t>(</t>
    </r>
    <r>
      <rPr>
        <i/>
        <sz val="9"/>
        <color rgb="FF6E6E6E"/>
        <rFont val="FreeSans"/>
        <family val="2"/>
      </rPr>
      <t>تشمل أثر الاندماج جزئياً</t>
    </r>
    <r>
      <rPr>
        <i/>
        <sz val="9"/>
        <color rgb="FF6E6E6E"/>
        <rFont val="Calibri"/>
        <charset val="1"/>
      </rPr>
      <t xml:space="preserve">). EBITDA 2021-2024 </t>
    </r>
    <r>
      <rPr>
        <i/>
        <sz val="9"/>
        <color rgb="FF6E6E6E"/>
        <rFont val="FreeSans"/>
        <family val="2"/>
      </rPr>
      <t>من نتائج الأعمال</t>
    </r>
    <r>
      <rPr>
        <i/>
        <sz val="9"/>
        <color rgb="FF6E6E6E"/>
        <rFont val="Calibri"/>
        <charset val="1"/>
      </rPr>
      <t>.</t>
    </r>
  </si>
  <si>
    <r>
      <rPr>
        <b/>
        <sz val="13"/>
        <color rgb="FFFFFFFF"/>
        <rFont val="FreeSans"/>
        <family val="2"/>
      </rPr>
      <t xml:space="preserve">الموسمية — هامش مجمل الربح بالأرباع </t>
    </r>
    <r>
      <rPr>
        <b/>
        <sz val="13"/>
        <color rgb="FFFFFFFF"/>
        <rFont val="Calibri"/>
        <charset val="1"/>
      </rPr>
      <t xml:space="preserve">+ </t>
    </r>
    <r>
      <rPr>
        <b/>
        <sz val="13"/>
        <color rgb="FFFFFFFF"/>
        <rFont val="FreeSans"/>
        <family val="2"/>
      </rPr>
      <t>ربع رمضان</t>
    </r>
  </si>
  <si>
    <t>السنة</t>
  </si>
  <si>
    <t>Q1</t>
  </si>
  <si>
    <t>Q2</t>
  </si>
  <si>
    <t>Q3</t>
  </si>
  <si>
    <t>Q4</t>
  </si>
  <si>
    <t>ربع رمضان</t>
  </si>
  <si>
    <r>
      <rPr>
        <b/>
        <sz val="11"/>
        <color rgb="FF000000"/>
        <rFont val="FreeSans"/>
        <family val="2"/>
      </rPr>
      <t xml:space="preserve">الأعلى </t>
    </r>
    <r>
      <rPr>
        <b/>
        <sz val="11"/>
        <color rgb="FF000000"/>
        <rFont val="Calibri"/>
        <charset val="1"/>
      </rPr>
      <t xml:space="preserve">= </t>
    </r>
    <r>
      <rPr>
        <b/>
        <sz val="11"/>
        <color rgb="FF000000"/>
        <rFont val="FreeSans"/>
        <family val="2"/>
      </rPr>
      <t>رمضان؟</t>
    </r>
  </si>
  <si>
    <t>✓ نعم</t>
  </si>
  <si>
    <t>متوسط الربع</t>
  </si>
  <si>
    <t>الأصول غير المتداولة</t>
  </si>
  <si>
    <r>
      <rPr>
        <sz val="10"/>
        <color rgb="FF000000"/>
        <rFont val="FreeSans"/>
        <family val="2"/>
      </rPr>
      <t xml:space="preserve">الأصول الثابتة </t>
    </r>
    <r>
      <rPr>
        <sz val="10"/>
        <color rgb="FF000000"/>
        <rFont val="Calibri"/>
        <charset val="1"/>
      </rPr>
      <t>(PPE)</t>
    </r>
  </si>
  <si>
    <t>مشروعات تحت التنفيذ</t>
  </si>
  <si>
    <t>الثروة النباتية</t>
  </si>
  <si>
    <t>الأصول البيولوجية</t>
  </si>
  <si>
    <t>استثمارات حقوق الملكية</t>
  </si>
  <si>
    <r>
      <rPr>
        <sz val="10"/>
        <color rgb="FF000000"/>
        <rFont val="FreeSans"/>
        <family val="2"/>
      </rPr>
      <t xml:space="preserve">استثمار بالتكلفة المستهلكة </t>
    </r>
    <r>
      <rPr>
        <sz val="10"/>
        <color rgb="FF000000"/>
        <rFont val="Calibri"/>
        <charset val="1"/>
      </rPr>
      <t>(</t>
    </r>
    <r>
      <rPr>
        <sz val="10"/>
        <color rgb="FF000000"/>
        <rFont val="FreeSans"/>
        <family val="2"/>
      </rPr>
      <t>ط</t>
    </r>
    <r>
      <rPr>
        <sz val="10"/>
        <color rgb="FF000000"/>
        <rFont val="Calibri"/>
        <charset val="1"/>
      </rPr>
      <t>)</t>
    </r>
  </si>
  <si>
    <t>أصول حق الاستخدام</t>
  </si>
  <si>
    <t>الشهرة</t>
  </si>
  <si>
    <r>
      <rPr>
        <sz val="10"/>
        <color rgb="FF000000"/>
        <rFont val="FreeSans"/>
        <family val="2"/>
      </rPr>
      <t>أصول أخرى ط</t>
    </r>
    <r>
      <rPr>
        <sz val="10"/>
        <color rgb="FF000000"/>
        <rFont val="Calibri"/>
        <charset val="1"/>
      </rPr>
      <t>.</t>
    </r>
    <r>
      <rPr>
        <sz val="10"/>
        <color rgb="FF000000"/>
        <rFont val="FreeSans"/>
        <family val="2"/>
      </rPr>
      <t>أ</t>
    </r>
  </si>
  <si>
    <t>إجمالي غير المتداولة</t>
  </si>
  <si>
    <t>الأصول المتداولة</t>
  </si>
  <si>
    <t>المخزون</t>
  </si>
  <si>
    <t>العملاء وأرصدة مدينة</t>
  </si>
  <si>
    <t>أصول بيولوجية متداولة</t>
  </si>
  <si>
    <t>أصول محتفظ بها للبيع</t>
  </si>
  <si>
    <t>مستحق من أطراف علاقة</t>
  </si>
  <si>
    <t>أصول متداولة أخرى</t>
  </si>
  <si>
    <r>
      <rPr>
        <sz val="10"/>
        <color rgb="FF000000"/>
        <rFont val="FreeSans"/>
        <family val="2"/>
      </rPr>
      <t xml:space="preserve">استثمار بالتكلفة المستهلكة </t>
    </r>
    <r>
      <rPr>
        <sz val="10"/>
        <color rgb="FF000000"/>
        <rFont val="Calibri"/>
        <charset val="1"/>
      </rPr>
      <t>(</t>
    </r>
    <r>
      <rPr>
        <sz val="10"/>
        <color rgb="FF000000"/>
        <rFont val="FreeSans"/>
        <family val="2"/>
      </rPr>
      <t>ق</t>
    </r>
    <r>
      <rPr>
        <sz val="10"/>
        <color rgb="FF000000"/>
        <rFont val="Calibri"/>
        <charset val="1"/>
      </rPr>
      <t>)</t>
    </r>
  </si>
  <si>
    <t>النقدية وما في حكمها</t>
  </si>
  <si>
    <t>إجمالي المتداولة</t>
  </si>
  <si>
    <t>إجمالي الأصول</t>
  </si>
  <si>
    <t>حقوق الملكية والالتزامات</t>
  </si>
  <si>
    <t>رأس المال المصدر</t>
  </si>
  <si>
    <t>الاحتياطي القانوني</t>
  </si>
  <si>
    <r>
      <rPr>
        <sz val="10"/>
        <color rgb="FF000000"/>
        <rFont val="FreeSans"/>
        <family val="2"/>
      </rPr>
      <t>احتياطي عام</t>
    </r>
    <r>
      <rPr>
        <sz val="10"/>
        <color rgb="FF000000"/>
        <rFont val="Calibri"/>
        <charset val="1"/>
      </rPr>
      <t>/</t>
    </r>
    <r>
      <rPr>
        <sz val="10"/>
        <color rgb="FF000000"/>
        <rFont val="FreeSans"/>
        <family val="2"/>
      </rPr>
      <t>علاوة</t>
    </r>
  </si>
  <si>
    <t>احتياطيات أخرى</t>
  </si>
  <si>
    <t>الأرباح المرحّلة</t>
  </si>
  <si>
    <t>حقوق غير مسيطرة</t>
  </si>
  <si>
    <t>إجمالي حقوق الملكية</t>
  </si>
  <si>
    <t>التزامات غير متداولة</t>
  </si>
  <si>
    <t>التزامات متداولة</t>
  </si>
  <si>
    <t>إجمالي الالتزامات</t>
  </si>
  <si>
    <t>إجمالي الملكية والالتزامات</t>
  </si>
  <si>
    <r>
      <rPr>
        <b/>
        <sz val="10"/>
        <color rgb="FF000000"/>
        <rFont val="FreeSans"/>
        <family val="2"/>
      </rPr>
      <t xml:space="preserve">فحص التوازن </t>
    </r>
    <r>
      <rPr>
        <b/>
        <sz val="10"/>
        <color rgb="FF000000"/>
        <rFont val="Calibri"/>
        <charset val="1"/>
      </rPr>
      <t xml:space="preserve">(= </t>
    </r>
    <r>
      <rPr>
        <b/>
        <sz val="10"/>
        <color rgb="FF000000"/>
        <rFont val="FreeSans"/>
        <family val="2"/>
      </rPr>
      <t>صفر</t>
    </r>
    <r>
      <rPr>
        <b/>
        <sz val="10"/>
        <color rgb="FF000000"/>
        <rFont val="Calibri"/>
        <charset val="1"/>
      </rPr>
      <t>)</t>
    </r>
  </si>
  <si>
    <r>
      <rPr>
        <b/>
        <sz val="13"/>
        <color rgb="FFFFFFFF"/>
        <rFont val="FreeSans"/>
        <family val="2"/>
      </rPr>
      <t xml:space="preserve">قائمة التدفقات النقدية </t>
    </r>
    <r>
      <rPr>
        <b/>
        <sz val="13"/>
        <color rgb="FFFFFFFF"/>
        <rFont val="Calibri"/>
        <charset val="1"/>
      </rPr>
      <t>(</t>
    </r>
    <r>
      <rPr>
        <b/>
        <sz val="13"/>
        <color rgb="FFFFFFFF"/>
        <rFont val="FreeSans"/>
        <family val="2"/>
      </rPr>
      <t>بالجنيه</t>
    </r>
    <r>
      <rPr>
        <b/>
        <sz val="13"/>
        <color rgb="FFFFFFFF"/>
        <rFont val="Calibri"/>
        <charset val="1"/>
      </rPr>
      <t>)</t>
    </r>
  </si>
  <si>
    <t>صافي التدفق التشغيلي</t>
  </si>
  <si>
    <t>صافي التدفق الاستثماري</t>
  </si>
  <si>
    <t>صافي التدفق التمويلي</t>
  </si>
  <si>
    <t>صافي التغير في النقدية</t>
  </si>
  <si>
    <t>أثر فروق الصرف</t>
  </si>
  <si>
    <t>النقدية أول السنة</t>
  </si>
  <si>
    <r>
      <rPr>
        <b/>
        <sz val="10"/>
        <color rgb="FF000000"/>
        <rFont val="FreeSans"/>
        <family val="2"/>
      </rPr>
      <t xml:space="preserve">النقدية آخر السنة </t>
    </r>
    <r>
      <rPr>
        <b/>
        <sz val="10"/>
        <color rgb="FF000000"/>
        <rFont val="Calibri"/>
        <charset val="1"/>
      </rPr>
      <t>(</t>
    </r>
    <r>
      <rPr>
        <b/>
        <sz val="10"/>
        <color rgb="FF000000"/>
        <rFont val="FreeSans"/>
        <family val="2"/>
      </rPr>
      <t>محسوبة</t>
    </r>
    <r>
      <rPr>
        <b/>
        <sz val="10"/>
        <color rgb="FF000000"/>
        <rFont val="Calibri"/>
        <charset val="1"/>
      </rPr>
      <t>)</t>
    </r>
  </si>
  <si>
    <r>
      <rPr>
        <sz val="10"/>
        <color rgb="FF000000"/>
        <rFont val="FreeSans"/>
        <family val="2"/>
      </rPr>
      <t xml:space="preserve">النقدية بالميزانية </t>
    </r>
    <r>
      <rPr>
        <sz val="10"/>
        <color rgb="FF000000"/>
        <rFont val="Calibri"/>
        <charset val="1"/>
      </rPr>
      <t>(</t>
    </r>
    <r>
      <rPr>
        <sz val="10"/>
        <color rgb="FF000000"/>
        <rFont val="FreeSans"/>
        <family val="2"/>
      </rPr>
      <t>للمطابقة</t>
    </r>
    <r>
      <rPr>
        <sz val="10"/>
        <color rgb="FF000000"/>
        <rFont val="Calibri"/>
        <charset val="1"/>
      </rPr>
      <t>)</t>
    </r>
  </si>
  <si>
    <r>
      <rPr>
        <i/>
        <sz val="9"/>
        <color rgb="FF6E6E6E"/>
        <rFont val="FreeSans"/>
        <family val="2"/>
      </rPr>
      <t xml:space="preserve">تشغيلي </t>
    </r>
    <r>
      <rPr>
        <i/>
        <sz val="9"/>
        <color rgb="FF6E6E6E"/>
        <rFont val="Calibri"/>
        <charset val="1"/>
      </rPr>
      <t xml:space="preserve">2024 </t>
    </r>
    <r>
      <rPr>
        <i/>
        <sz val="9"/>
        <color rgb="FF6E6E6E"/>
        <rFont val="FreeSans"/>
        <family val="2"/>
      </rPr>
      <t xml:space="preserve">كما ورد بقوائم </t>
    </r>
    <r>
      <rPr>
        <i/>
        <sz val="9"/>
        <color rgb="FF6E6E6E"/>
        <rFont val="Calibri"/>
        <charset val="1"/>
      </rPr>
      <t>2024 (2,274.8</t>
    </r>
    <r>
      <rPr>
        <i/>
        <sz val="9"/>
        <color rgb="FF6E6E6E"/>
        <rFont val="FreeSans"/>
        <family val="2"/>
      </rPr>
      <t>م</t>
    </r>
    <r>
      <rPr>
        <i/>
        <sz val="9"/>
        <color rgb="FF6E6E6E"/>
        <rFont val="Calibri"/>
        <charset val="1"/>
      </rPr>
      <t>)</t>
    </r>
    <r>
      <rPr>
        <i/>
        <sz val="9"/>
        <color rgb="FF6E6E6E"/>
        <rFont val="FreeSans"/>
        <family val="2"/>
      </rPr>
      <t xml:space="preserve">؛ أُعيد عرضه </t>
    </r>
    <r>
      <rPr>
        <i/>
        <sz val="9"/>
        <color rgb="FF6E6E6E"/>
        <rFont val="Calibri"/>
        <charset val="1"/>
      </rPr>
      <t>2,123.3</t>
    </r>
    <r>
      <rPr>
        <i/>
        <sz val="9"/>
        <color rgb="FF6E6E6E"/>
        <rFont val="FreeSans"/>
        <family val="2"/>
      </rPr>
      <t xml:space="preserve">م في مقارنات </t>
    </r>
    <r>
      <rPr>
        <i/>
        <sz val="9"/>
        <color rgb="FF6E6E6E"/>
        <rFont val="Calibri"/>
        <charset val="1"/>
      </rPr>
      <t xml:space="preserve">2025 </t>
    </r>
    <r>
      <rPr>
        <i/>
        <sz val="9"/>
        <color rgb="FF6E6E6E"/>
        <rFont val="FreeSans"/>
        <family val="2"/>
      </rPr>
      <t>بعد الاندماج</t>
    </r>
    <r>
      <rPr>
        <i/>
        <sz val="9"/>
        <color rgb="FF6E6E6E"/>
        <rFont val="Calibri"/>
        <charset val="1"/>
      </rPr>
      <t>.</t>
    </r>
  </si>
  <si>
    <r>
      <rPr>
        <sz val="10"/>
        <color rgb="FF000000"/>
        <rFont val="FreeSans"/>
        <family val="2"/>
      </rPr>
      <t xml:space="preserve">تكلفة المبيعات </t>
    </r>
    <r>
      <rPr>
        <sz val="10"/>
        <color rgb="FF000000"/>
        <rFont val="Calibri"/>
        <charset val="1"/>
      </rPr>
      <t>(</t>
    </r>
    <r>
      <rPr>
        <sz val="10"/>
        <color rgb="FF000000"/>
        <rFont val="FreeSans"/>
        <family val="2"/>
      </rPr>
      <t>موجبة</t>
    </r>
    <r>
      <rPr>
        <sz val="10"/>
        <color rgb="FF000000"/>
        <rFont val="Calibri"/>
        <charset val="1"/>
      </rPr>
      <t>)</t>
    </r>
  </si>
  <si>
    <t>العملاء</t>
  </si>
  <si>
    <r>
      <rPr>
        <sz val="10"/>
        <color rgb="FF000000"/>
        <rFont val="FreeSans"/>
        <family val="2"/>
      </rPr>
      <t xml:space="preserve">الدائنون </t>
    </r>
    <r>
      <rPr>
        <sz val="10"/>
        <color rgb="FF000000"/>
        <rFont val="Calibri"/>
        <charset val="1"/>
      </rPr>
      <t>(</t>
    </r>
    <r>
      <rPr>
        <sz val="10"/>
        <color rgb="FF000000"/>
        <rFont val="FreeSans"/>
        <family val="2"/>
      </rPr>
      <t>حقيقي ²¹⁻²⁴</t>
    </r>
    <r>
      <rPr>
        <sz val="10"/>
        <color rgb="FF000000"/>
        <rFont val="Calibri"/>
        <charset val="1"/>
      </rPr>
      <t>)</t>
    </r>
  </si>
  <si>
    <r>
      <rPr>
        <b/>
        <sz val="10"/>
        <color rgb="FF000000"/>
        <rFont val="FreeSans"/>
        <family val="2"/>
      </rPr>
      <t xml:space="preserve">أيام المخزون </t>
    </r>
    <r>
      <rPr>
        <b/>
        <sz val="10"/>
        <color rgb="FF000000"/>
        <rFont val="Calibri"/>
        <charset val="1"/>
      </rPr>
      <t>DIO</t>
    </r>
  </si>
  <si>
    <r>
      <rPr>
        <b/>
        <sz val="10"/>
        <color rgb="FF000000"/>
        <rFont val="FreeSans"/>
        <family val="2"/>
      </rPr>
      <t xml:space="preserve">أيام التحصيل </t>
    </r>
    <r>
      <rPr>
        <b/>
        <sz val="10"/>
        <color rgb="FF000000"/>
        <rFont val="Calibri"/>
        <charset val="1"/>
      </rPr>
      <t>DSO</t>
    </r>
  </si>
  <si>
    <r>
      <rPr>
        <b/>
        <sz val="10"/>
        <color rgb="FF000000"/>
        <rFont val="FreeSans"/>
        <family val="2"/>
      </rPr>
      <t xml:space="preserve">أيام السداد </t>
    </r>
    <r>
      <rPr>
        <b/>
        <sz val="10"/>
        <color rgb="FF000000"/>
        <rFont val="Calibri"/>
        <charset val="1"/>
      </rPr>
      <t>DPO</t>
    </r>
  </si>
  <si>
    <r>
      <rPr>
        <b/>
        <sz val="10"/>
        <color rgb="FFC0392B"/>
        <rFont val="FreeSans"/>
        <family val="2"/>
      </rPr>
      <t xml:space="preserve">دورة التحويل النقدي </t>
    </r>
    <r>
      <rPr>
        <b/>
        <sz val="10"/>
        <color rgb="FFC0392B"/>
        <rFont val="Calibri"/>
        <charset val="1"/>
      </rPr>
      <t>CCC</t>
    </r>
  </si>
  <si>
    <r>
      <rPr>
        <i/>
        <sz val="9"/>
        <color rgb="FFC0392B"/>
        <rFont val="FreeSans"/>
        <family val="2"/>
      </rPr>
      <t xml:space="preserve">دائنو </t>
    </r>
    <r>
      <rPr>
        <i/>
        <sz val="9"/>
        <color rgb="FFC0392B"/>
        <rFont val="Calibri"/>
        <charset val="1"/>
      </rPr>
      <t xml:space="preserve">2025 </t>
    </r>
    <r>
      <rPr>
        <i/>
        <sz val="9"/>
        <color rgb="FFC0392B"/>
        <rFont val="FreeSans"/>
        <family val="2"/>
      </rPr>
      <t xml:space="preserve">تقدير </t>
    </r>
    <r>
      <rPr>
        <i/>
        <sz val="9"/>
        <color rgb="FFC0392B"/>
        <rFont val="Calibri"/>
        <charset val="1"/>
      </rPr>
      <t>(~2,800</t>
    </r>
    <r>
      <rPr>
        <i/>
        <sz val="9"/>
        <color rgb="FFC0392B"/>
        <rFont val="FreeSans"/>
        <family val="2"/>
      </rPr>
      <t>م</t>
    </r>
    <r>
      <rPr>
        <i/>
        <sz val="9"/>
        <color rgb="FFC0392B"/>
        <rFont val="Calibri"/>
        <charset val="1"/>
      </rPr>
      <t xml:space="preserve">) </t>
    </r>
    <r>
      <rPr>
        <i/>
        <sz val="9"/>
        <color rgb="FFC0392B"/>
        <rFont val="FreeSans"/>
        <family val="2"/>
      </rPr>
      <t xml:space="preserve">لحين القائمة المدمجة — تتعدل الخلية الزرقاء ويتحدث </t>
    </r>
    <r>
      <rPr>
        <i/>
        <sz val="9"/>
        <color rgb="FFC0392B"/>
        <rFont val="Calibri"/>
        <charset val="1"/>
      </rPr>
      <t xml:space="preserve">CCC </t>
    </r>
    <r>
      <rPr>
        <i/>
        <sz val="9"/>
        <color rgb="FFC0392B"/>
        <rFont val="FreeSans"/>
        <family val="2"/>
      </rPr>
      <t>تلقائياً</t>
    </r>
    <r>
      <rPr>
        <i/>
        <sz val="9"/>
        <color rgb="FFC0392B"/>
        <rFont val="Calibri"/>
        <charset val="1"/>
      </rPr>
      <t xml:space="preserve">. DIO </t>
    </r>
    <r>
      <rPr>
        <i/>
        <sz val="9"/>
        <color rgb="FFC0392B"/>
        <rFont val="FreeSans"/>
        <family val="2"/>
      </rPr>
      <t xml:space="preserve">ارتفع </t>
    </r>
    <r>
      <rPr>
        <i/>
        <sz val="9"/>
        <color rgb="FFC0392B"/>
        <rFont val="Calibri"/>
        <charset val="1"/>
      </rPr>
      <t xml:space="preserve">51→92 </t>
    </r>
    <r>
      <rPr>
        <i/>
        <sz val="9"/>
        <color rgb="FFC0392B"/>
        <rFont val="FreeSans"/>
        <family val="2"/>
      </rPr>
      <t xml:space="preserve">يوم </t>
    </r>
    <r>
      <rPr>
        <i/>
        <sz val="9"/>
        <color rgb="FFC0392B"/>
        <rFont val="Calibri"/>
        <charset val="1"/>
      </rPr>
      <t>(</t>
    </r>
    <r>
      <rPr>
        <i/>
        <sz val="9"/>
        <color rgb="FFC0392B"/>
        <rFont val="FreeSans"/>
        <family val="2"/>
      </rPr>
      <t>تخزين دفاعي</t>
    </r>
    <r>
      <rPr>
        <i/>
        <sz val="9"/>
        <color rgb="FFC0392B"/>
        <rFont val="Calibri"/>
        <charset val="1"/>
      </rPr>
      <t>).</t>
    </r>
  </si>
  <si>
    <r>
      <rPr>
        <b/>
        <sz val="13"/>
        <color rgb="FFFFFFFF"/>
        <rFont val="FreeSans"/>
        <family val="2"/>
      </rPr>
      <t xml:space="preserve">تشريح الإيراد </t>
    </r>
    <r>
      <rPr>
        <b/>
        <sz val="13"/>
        <color rgb="FFFFFFFF"/>
        <rFont val="Calibri"/>
        <charset val="1"/>
      </rPr>
      <t xml:space="preserve">2023 — </t>
    </r>
    <r>
      <rPr>
        <b/>
        <sz val="13"/>
        <color rgb="FFFFFFFF"/>
        <rFont val="FreeSans"/>
        <family val="2"/>
      </rPr>
      <t>القطاعات والتصدير</t>
    </r>
  </si>
  <si>
    <t>القطاع</t>
  </si>
  <si>
    <r>
      <rPr>
        <b/>
        <sz val="11"/>
        <color rgb="FF000000"/>
        <rFont val="FreeSans"/>
        <family val="2"/>
      </rPr>
      <t xml:space="preserve">الإيراد </t>
    </r>
    <r>
      <rPr>
        <b/>
        <sz val="11"/>
        <color rgb="FF000000"/>
        <rFont val="Calibri"/>
        <charset val="1"/>
      </rPr>
      <t>(</t>
    </r>
    <r>
      <rPr>
        <b/>
        <sz val="11"/>
        <color rgb="FF000000"/>
        <rFont val="FreeSans"/>
        <family val="2"/>
      </rPr>
      <t>ج</t>
    </r>
    <r>
      <rPr>
        <b/>
        <sz val="11"/>
        <color rgb="FF000000"/>
        <rFont val="Calibri"/>
        <charset val="1"/>
      </rPr>
      <t>.</t>
    </r>
    <r>
      <rPr>
        <b/>
        <sz val="11"/>
        <color rgb="FF000000"/>
        <rFont val="FreeSans"/>
        <family val="2"/>
      </rPr>
      <t>م</t>
    </r>
    <r>
      <rPr>
        <b/>
        <sz val="11"/>
        <color rgb="FF000000"/>
        <rFont val="Calibri"/>
        <charset val="1"/>
      </rPr>
      <t>)</t>
    </r>
  </si>
  <si>
    <r>
      <rPr>
        <b/>
        <sz val="11"/>
        <color rgb="FF000000"/>
        <rFont val="FreeSans"/>
        <family val="2"/>
      </rPr>
      <t xml:space="preserve">الوزن </t>
    </r>
    <r>
      <rPr>
        <b/>
        <sz val="11"/>
        <color rgb="FF000000"/>
        <rFont val="Calibri"/>
        <charset val="1"/>
      </rPr>
      <t>%</t>
    </r>
  </si>
  <si>
    <r>
      <rPr>
        <b/>
        <sz val="11"/>
        <color rgb="FF000000"/>
        <rFont val="FreeSans"/>
        <family val="2"/>
      </rPr>
      <t xml:space="preserve">النمو </t>
    </r>
    <r>
      <rPr>
        <b/>
        <sz val="11"/>
        <color rgb="FF000000"/>
        <rFont val="Calibri"/>
        <charset val="1"/>
      </rPr>
      <t>%</t>
    </r>
  </si>
  <si>
    <t>ملاحظة</t>
  </si>
  <si>
    <t>الألبان</t>
  </si>
  <si>
    <r>
      <rPr>
        <sz val="8.5"/>
        <color rgb="FF000000"/>
        <rFont val="FreeSans"/>
        <family val="2"/>
      </rPr>
      <t xml:space="preserve">بخيرو الاقتصادي </t>
    </r>
    <r>
      <rPr>
        <sz val="8.5"/>
        <color rgb="FF000000"/>
        <rFont val="Calibri"/>
        <charset val="1"/>
      </rPr>
      <t xml:space="preserve">37% </t>
    </r>
    <r>
      <rPr>
        <sz val="8.5"/>
        <color rgb="FF000000"/>
        <rFont val="FreeSans"/>
        <family val="2"/>
      </rPr>
      <t>من القطاع — ضغط استهلاكي</t>
    </r>
  </si>
  <si>
    <r>
      <rPr>
        <b/>
        <sz val="10"/>
        <color rgb="FF000000"/>
        <rFont val="FreeSans"/>
        <family val="2"/>
      </rPr>
      <t>التبريد</t>
    </r>
    <r>
      <rPr>
        <b/>
        <sz val="10"/>
        <color rgb="FF000000"/>
        <rFont val="Calibri"/>
        <charset val="1"/>
      </rPr>
      <t>/</t>
    </r>
    <r>
      <rPr>
        <b/>
        <sz val="10"/>
        <color rgb="FF000000"/>
        <rFont val="FreeSans"/>
        <family val="2"/>
      </rPr>
      <t>الزبادي</t>
    </r>
  </si>
  <si>
    <r>
      <rPr>
        <sz val="8.5"/>
        <color rgb="FF000000"/>
        <rFont val="FreeSans"/>
        <family val="2"/>
      </rPr>
      <t xml:space="preserve">مشروب زبادي حصة </t>
    </r>
    <r>
      <rPr>
        <sz val="8.5"/>
        <color rgb="FF000000"/>
        <rFont val="Calibri"/>
        <charset val="1"/>
      </rPr>
      <t>48%</t>
    </r>
  </si>
  <si>
    <t>العصائر</t>
  </si>
  <si>
    <r>
      <rPr>
        <sz val="8.5"/>
        <color rgb="FF000000"/>
        <rFont val="FreeSans"/>
        <family val="2"/>
      </rPr>
      <t xml:space="preserve">حصة سوقية </t>
    </r>
    <r>
      <rPr>
        <sz val="8.5"/>
        <color rgb="FF000000"/>
        <rFont val="Calibri"/>
        <charset val="1"/>
      </rPr>
      <t>28%</t>
    </r>
  </si>
  <si>
    <t>المركزات</t>
  </si>
  <si>
    <t>محرك التصدير — متقلب عالمياً</t>
  </si>
  <si>
    <t>التوزيع للغير</t>
  </si>
  <si>
    <t>هامش منخفض</t>
  </si>
  <si>
    <t>الإجمالي</t>
  </si>
  <si>
    <r>
      <rPr>
        <b/>
        <sz val="11"/>
        <color rgb="FFFFFFFF"/>
        <rFont val="FreeSans"/>
        <family val="2"/>
      </rPr>
      <t xml:space="preserve">محلي مقابل تصدير </t>
    </r>
    <r>
      <rPr>
        <b/>
        <sz val="11"/>
        <color rgb="FFFFFFFF"/>
        <rFont val="Calibri"/>
        <charset val="1"/>
      </rPr>
      <t>(2023 → 2025)</t>
    </r>
  </si>
  <si>
    <r>
      <rPr>
        <b/>
        <sz val="10"/>
        <color rgb="FF000000"/>
        <rFont val="FreeSans"/>
        <family val="2"/>
      </rPr>
      <t xml:space="preserve">إيراد التصدير </t>
    </r>
    <r>
      <rPr>
        <b/>
        <sz val="10"/>
        <color rgb="FF000000"/>
        <rFont val="Calibri"/>
        <charset val="1"/>
      </rPr>
      <t>(</t>
    </r>
    <r>
      <rPr>
        <b/>
        <sz val="10"/>
        <color rgb="FF000000"/>
        <rFont val="FreeSans"/>
        <family val="2"/>
      </rPr>
      <t>ج</t>
    </r>
    <r>
      <rPr>
        <b/>
        <sz val="10"/>
        <color rgb="FF000000"/>
        <rFont val="Calibri"/>
        <charset val="1"/>
      </rPr>
      <t>.</t>
    </r>
    <r>
      <rPr>
        <b/>
        <sz val="10"/>
        <color rgb="FF000000"/>
        <rFont val="FreeSans"/>
        <family val="2"/>
      </rPr>
      <t>م</t>
    </r>
    <r>
      <rPr>
        <b/>
        <sz val="10"/>
        <color rgb="FF000000"/>
        <rFont val="Calibri"/>
        <charset val="1"/>
      </rPr>
      <t>)</t>
    </r>
  </si>
  <si>
    <r>
      <rPr>
        <sz val="10"/>
        <color rgb="FF1F6FB2"/>
        <rFont val="Calibri"/>
        <charset val="1"/>
      </rPr>
      <t xml:space="preserve">~1.2 </t>
    </r>
    <r>
      <rPr>
        <sz val="10"/>
        <color rgb="FF1F6FB2"/>
        <rFont val="FreeSans"/>
        <family val="2"/>
      </rPr>
      <t>مليار</t>
    </r>
  </si>
  <si>
    <r>
      <rPr>
        <sz val="10"/>
        <color rgb="FF1F6FB2"/>
        <rFont val="Calibri"/>
        <charset val="1"/>
      </rPr>
      <t xml:space="preserve">2.2 </t>
    </r>
    <r>
      <rPr>
        <sz val="10"/>
        <color rgb="FF1F6FB2"/>
        <rFont val="FreeSans"/>
        <family val="2"/>
      </rPr>
      <t>مليار</t>
    </r>
  </si>
  <si>
    <r>
      <rPr>
        <sz val="8.5"/>
        <color rgb="FF000000"/>
        <rFont val="Calibri"/>
        <charset val="1"/>
      </rPr>
      <t xml:space="preserve">+54% </t>
    </r>
    <r>
      <rPr>
        <sz val="8.5"/>
        <color rgb="FF000000"/>
        <rFont val="FreeSans"/>
        <family val="2"/>
      </rPr>
      <t xml:space="preserve">بالدولار </t>
    </r>
    <r>
      <rPr>
        <sz val="8.5"/>
        <color rgb="FF000000"/>
        <rFont val="Calibri"/>
        <charset val="1"/>
      </rPr>
      <t xml:space="preserve">· 48 </t>
    </r>
    <r>
      <rPr>
        <sz val="8.5"/>
        <color rgb="FF000000"/>
        <rFont val="FreeSans"/>
        <family val="2"/>
      </rPr>
      <t>دولة</t>
    </r>
  </si>
  <si>
    <t>نسبة التصدير</t>
  </si>
  <si>
    <t>~7%</t>
  </si>
  <si>
    <t>~7.3%</t>
  </si>
  <si>
    <r>
      <rPr>
        <sz val="8.5"/>
        <color rgb="FF000000"/>
        <rFont val="Calibri"/>
        <charset val="1"/>
      </rPr>
      <t xml:space="preserve">83% </t>
    </r>
    <r>
      <rPr>
        <sz val="8.5"/>
        <color rgb="FF000000"/>
        <rFont val="FreeSans"/>
        <family val="2"/>
      </rPr>
      <t>منه مركزات متقلبة</t>
    </r>
  </si>
  <si>
    <t>بالدولار</t>
  </si>
  <si>
    <r>
      <rPr>
        <sz val="10"/>
        <color rgb="FF1F6FB2"/>
        <rFont val="Calibri"/>
        <charset val="1"/>
      </rPr>
      <t>~38</t>
    </r>
    <r>
      <rPr>
        <sz val="10"/>
        <color rgb="FF1F6FB2"/>
        <rFont val="FreeSans"/>
        <family val="2"/>
      </rPr>
      <t xml:space="preserve">م </t>
    </r>
    <r>
      <rPr>
        <sz val="10"/>
        <color rgb="FF1F6FB2"/>
        <rFont val="Calibri"/>
        <charset val="1"/>
      </rPr>
      <t>$</t>
    </r>
  </si>
  <si>
    <r>
      <rPr>
        <sz val="10"/>
        <color rgb="FF1F6FB2"/>
        <rFont val="Calibri"/>
        <charset val="1"/>
      </rPr>
      <t>46</t>
    </r>
    <r>
      <rPr>
        <sz val="10"/>
        <color rgb="FF1F6FB2"/>
        <rFont val="FreeSans"/>
        <family val="2"/>
      </rPr>
      <t xml:space="preserve">م </t>
    </r>
    <r>
      <rPr>
        <sz val="10"/>
        <color rgb="FF1F6FB2"/>
        <rFont val="Calibri"/>
        <charset val="1"/>
      </rPr>
      <t>$</t>
    </r>
  </si>
  <si>
    <t>تحوط جزئي نامٍ</t>
  </si>
  <si>
    <r>
      <rPr>
        <b/>
        <sz val="13"/>
        <color rgb="FFFFFFFF"/>
        <rFont val="FreeSans"/>
        <family val="2"/>
      </rPr>
      <t xml:space="preserve">تشريح التكاليف — إيضاح </t>
    </r>
    <r>
      <rPr>
        <b/>
        <sz val="13"/>
        <color rgb="FFFFFFFF"/>
        <rFont val="Calibri"/>
        <charset val="1"/>
      </rPr>
      <t xml:space="preserve">4 </t>
    </r>
    <r>
      <rPr>
        <b/>
        <sz val="13"/>
        <color rgb="FFFFFFFF"/>
        <rFont val="FreeSans"/>
        <family val="2"/>
      </rPr>
      <t xml:space="preserve">وإيضاح </t>
    </r>
    <r>
      <rPr>
        <b/>
        <sz val="13"/>
        <color rgb="FFFFFFFF"/>
        <rFont val="Calibri"/>
        <charset val="1"/>
      </rPr>
      <t>17 (</t>
    </r>
    <r>
      <rPr>
        <b/>
        <sz val="13"/>
        <color rgb="FFFFFFFF"/>
        <rFont val="FreeSans"/>
        <family val="2"/>
      </rPr>
      <t>بالجنيه</t>
    </r>
    <r>
      <rPr>
        <b/>
        <sz val="13"/>
        <color rgb="FFFFFFFF"/>
        <rFont val="Calibri"/>
        <charset val="1"/>
      </rPr>
      <t>)</t>
    </r>
  </si>
  <si>
    <r>
      <rPr>
        <b/>
        <sz val="11"/>
        <color rgb="FF000000"/>
        <rFont val="FreeSans"/>
        <family val="2"/>
      </rPr>
      <t xml:space="preserve">مكوّن التكلفة </t>
    </r>
    <r>
      <rPr>
        <b/>
        <sz val="11"/>
        <color rgb="FF000000"/>
        <rFont val="Calibri"/>
        <charset val="1"/>
      </rPr>
      <t>(</t>
    </r>
    <r>
      <rPr>
        <b/>
        <sz val="11"/>
        <color rgb="FF000000"/>
        <rFont val="FreeSans"/>
        <family val="2"/>
      </rPr>
      <t xml:space="preserve">إيضاح </t>
    </r>
    <r>
      <rPr>
        <b/>
        <sz val="11"/>
        <color rgb="FF000000"/>
        <rFont val="Calibri"/>
        <charset val="1"/>
      </rPr>
      <t>4)</t>
    </r>
  </si>
  <si>
    <r>
      <rPr>
        <b/>
        <sz val="11"/>
        <color rgb="FF000000"/>
        <rFont val="FreeSans"/>
        <family val="2"/>
      </rPr>
      <t xml:space="preserve">وزن </t>
    </r>
    <r>
      <rPr>
        <b/>
        <sz val="11"/>
        <color rgb="FF000000"/>
        <rFont val="Calibri"/>
        <charset val="1"/>
      </rPr>
      <t>2023</t>
    </r>
  </si>
  <si>
    <t>مواد خام وتعبئة وأخرى</t>
  </si>
  <si>
    <t>تغير البضاعة التامة</t>
  </si>
  <si>
    <t>الإهلاك</t>
  </si>
  <si>
    <t>إجمالي تكلفة المبيعات</t>
  </si>
  <si>
    <r>
      <rPr>
        <b/>
        <sz val="11"/>
        <color rgb="FFFFFFFF"/>
        <rFont val="FreeSans"/>
        <family val="2"/>
      </rPr>
      <t xml:space="preserve">تركيبة المخزون </t>
    </r>
    <r>
      <rPr>
        <b/>
        <sz val="11"/>
        <color rgb="FFFFFFFF"/>
        <rFont val="Calibri"/>
        <charset val="1"/>
      </rPr>
      <t>(</t>
    </r>
    <r>
      <rPr>
        <b/>
        <sz val="11"/>
        <color rgb="FFFFFFFF"/>
        <rFont val="FreeSans"/>
        <family val="2"/>
      </rPr>
      <t xml:space="preserve">إيضاح </t>
    </r>
    <r>
      <rPr>
        <b/>
        <sz val="11"/>
        <color rgb="FFFFFFFF"/>
        <rFont val="Calibri"/>
        <charset val="1"/>
      </rPr>
      <t>17)</t>
    </r>
  </si>
  <si>
    <t>النمو</t>
  </si>
  <si>
    <t>مواد خام</t>
  </si>
  <si>
    <t>تعبئة وتغليف</t>
  </si>
  <si>
    <t>بضاعة تامة</t>
  </si>
  <si>
    <t>مستلزمات</t>
  </si>
  <si>
    <r>
      <rPr>
        <b/>
        <sz val="10"/>
        <color rgb="FFC0392B"/>
        <rFont val="FreeSans"/>
        <family val="2"/>
      </rPr>
      <t xml:space="preserve">بضاعة بالطريق </t>
    </r>
    <r>
      <rPr>
        <b/>
        <sz val="10"/>
        <color rgb="FFC0392B"/>
        <rFont val="Calibri"/>
        <charset val="1"/>
      </rPr>
      <t>L/C</t>
    </r>
  </si>
  <si>
    <t>إجمالي المخزون</t>
  </si>
  <si>
    <r>
      <rPr>
        <i/>
        <sz val="9"/>
        <color rgb="FFC0392B"/>
        <rFont val="Calibri"/>
        <charset val="1"/>
      </rPr>
      <t xml:space="preserve">95.6% </t>
    </r>
    <r>
      <rPr>
        <i/>
        <sz val="9"/>
        <color rgb="FFC0392B"/>
        <rFont val="FreeSans"/>
        <family val="2"/>
      </rPr>
      <t xml:space="preserve">من التكلفة خامات وتعبئة </t>
    </r>
    <r>
      <rPr>
        <i/>
        <sz val="9"/>
        <color rgb="FFC0392B"/>
        <rFont val="Calibri"/>
        <charset val="1"/>
      </rPr>
      <t>(</t>
    </r>
    <r>
      <rPr>
        <i/>
        <sz val="9"/>
        <color rgb="FFC0392B"/>
        <rFont val="FreeSans"/>
        <family val="2"/>
      </rPr>
      <t>لا وسادة لامتصاص الصدمات</t>
    </r>
    <r>
      <rPr>
        <i/>
        <sz val="9"/>
        <color rgb="FFC0392B"/>
        <rFont val="Calibri"/>
        <charset val="1"/>
      </rPr>
      <t xml:space="preserve">). </t>
    </r>
    <r>
      <rPr>
        <i/>
        <sz val="9"/>
        <color rgb="FFC0392B"/>
        <rFont val="FreeSans"/>
        <family val="2"/>
      </rPr>
      <t xml:space="preserve">البضاعة بالطريق </t>
    </r>
    <r>
      <rPr>
        <i/>
        <sz val="9"/>
        <color rgb="FFC0392B"/>
        <rFont val="Calibri"/>
        <charset val="1"/>
      </rPr>
      <t xml:space="preserve">+478% = </t>
    </r>
    <r>
      <rPr>
        <i/>
        <sz val="9"/>
        <color rgb="FFC0392B"/>
        <rFont val="FreeSans"/>
        <family val="2"/>
      </rPr>
      <t xml:space="preserve">تكديس واردات دولارية </t>
    </r>
    <r>
      <rPr>
        <i/>
        <sz val="9"/>
        <color rgb="FFC0392B"/>
        <rFont val="Calibri"/>
        <charset val="1"/>
      </rPr>
      <t>2023.</t>
    </r>
  </si>
  <si>
    <t>المكان</t>
  </si>
  <si>
    <t>خسارة عملة في قائمة الدخل</t>
  </si>
  <si>
    <t>بند التمويل — ظاهرة</t>
  </si>
  <si>
    <r>
      <rPr>
        <sz val="10"/>
        <color rgb="FFC0392B"/>
        <rFont val="FreeSans"/>
        <family val="2"/>
      </rPr>
      <t xml:space="preserve">خسارة محوّلة للدخل الشامل </t>
    </r>
    <r>
      <rPr>
        <sz val="10"/>
        <color rgb="FFC0392B"/>
        <rFont val="Calibri"/>
        <charset val="1"/>
      </rPr>
      <t>EAS13</t>
    </r>
  </si>
  <si>
    <r>
      <rPr>
        <sz val="8.5"/>
        <color rgb="FFC0392B"/>
        <rFont val="Calibri"/>
        <charset val="1"/>
      </rPr>
      <t xml:space="preserve">OCI — </t>
    </r>
    <r>
      <rPr>
        <sz val="8.5"/>
        <color rgb="FFC0392B"/>
        <rFont val="FreeSans"/>
        <family val="2"/>
      </rPr>
      <t>مخفية</t>
    </r>
  </si>
  <si>
    <t>إجمالي الخسائر الحقيقية</t>
  </si>
  <si>
    <t>صافي الربح المعلَن</t>
  </si>
  <si>
    <r>
      <rPr>
        <sz val="10"/>
        <color rgb="FFC0392B"/>
        <rFont val="FreeSans"/>
        <family val="2"/>
      </rPr>
      <t xml:space="preserve">تعديل </t>
    </r>
    <r>
      <rPr>
        <sz val="10"/>
        <color rgb="FFC0392B"/>
        <rFont val="Calibri"/>
        <charset val="1"/>
      </rPr>
      <t>EAS13</t>
    </r>
  </si>
  <si>
    <r>
      <rPr>
        <b/>
        <sz val="10"/>
        <color rgb="FF000000"/>
        <rFont val="FreeSans"/>
        <family val="2"/>
      </rPr>
      <t xml:space="preserve">صافي الربح المعدّل </t>
    </r>
    <r>
      <rPr>
        <b/>
        <sz val="10"/>
        <color rgb="FF000000"/>
        <rFont val="Calibri"/>
        <charset val="1"/>
      </rPr>
      <t>(</t>
    </r>
    <r>
      <rPr>
        <b/>
        <sz val="10"/>
        <color rgb="FF000000"/>
        <rFont val="FreeSans"/>
        <family val="2"/>
      </rPr>
      <t>الحقيقي</t>
    </r>
    <r>
      <rPr>
        <b/>
        <sz val="10"/>
        <color rgb="FF000000"/>
        <rFont val="Calibri"/>
        <charset val="1"/>
      </rPr>
      <t>)</t>
    </r>
  </si>
  <si>
    <r>
      <rPr>
        <sz val="10"/>
        <color rgb="FFC0392B"/>
        <rFont val="FreeSans"/>
        <family val="2"/>
      </rPr>
      <t xml:space="preserve">أثر التعديل </t>
    </r>
    <r>
      <rPr>
        <sz val="10"/>
        <color rgb="FFC0392B"/>
        <rFont val="Calibri"/>
        <charset val="1"/>
      </rPr>
      <t>%</t>
    </r>
  </si>
  <si>
    <r>
      <rPr>
        <i/>
        <sz val="9"/>
        <color rgb="FFC0392B"/>
        <rFont val="Calibri"/>
        <charset val="1"/>
      </rPr>
      <t xml:space="preserve">EPS 2024: </t>
    </r>
    <r>
      <rPr>
        <i/>
        <sz val="9"/>
        <color rgb="FFC0392B"/>
        <rFont val="FreeSans"/>
        <family val="2"/>
      </rPr>
      <t xml:space="preserve">المعلَن </t>
    </r>
    <r>
      <rPr>
        <i/>
        <sz val="9"/>
        <color rgb="FFC0392B"/>
        <rFont val="Calibri"/>
        <charset val="1"/>
      </rPr>
      <t xml:space="preserve">2.91 → </t>
    </r>
    <r>
      <rPr>
        <i/>
        <sz val="9"/>
        <color rgb="FFC0392B"/>
        <rFont val="FreeSans"/>
        <family val="2"/>
      </rPr>
      <t xml:space="preserve">المعدّل </t>
    </r>
    <r>
      <rPr>
        <i/>
        <sz val="9"/>
        <color rgb="FFC0392B"/>
        <rFont val="Calibri"/>
        <charset val="1"/>
      </rPr>
      <t xml:space="preserve">2.54. </t>
    </r>
    <r>
      <rPr>
        <i/>
        <sz val="9"/>
        <color rgb="FFC0392B"/>
        <rFont val="FreeSans"/>
        <family val="2"/>
      </rPr>
      <t xml:space="preserve">الإدارة أكدت </t>
    </r>
    <r>
      <rPr>
        <i/>
        <sz val="9"/>
        <color rgb="FFC0392B"/>
        <rFont val="Calibri"/>
        <charset val="1"/>
      </rPr>
      <t xml:space="preserve">H1 2025 </t>
    </r>
    <r>
      <rPr>
        <i/>
        <sz val="9"/>
        <color rgb="FFC0392B"/>
        <rFont val="FreeSans"/>
        <family val="2"/>
      </rPr>
      <t xml:space="preserve">تضمن </t>
    </r>
    <r>
      <rPr>
        <i/>
        <sz val="9"/>
        <color rgb="FFC0392B"/>
        <rFont val="Calibri"/>
        <charset val="1"/>
      </rPr>
      <t>522</t>
    </r>
    <r>
      <rPr>
        <i/>
        <sz val="9"/>
        <color rgb="FFC0392B"/>
        <rFont val="FreeSans"/>
        <family val="2"/>
      </rPr>
      <t xml:space="preserve">م فروق عملة </t>
    </r>
    <r>
      <rPr>
        <i/>
        <sz val="9"/>
        <color rgb="FFC0392B"/>
        <rFont val="Calibri"/>
        <charset val="1"/>
      </rPr>
      <t>(</t>
    </r>
    <r>
      <rPr>
        <i/>
        <sz val="9"/>
        <color rgb="FFC0392B"/>
        <rFont val="FreeSans"/>
        <family val="2"/>
      </rPr>
      <t xml:space="preserve">الهامش المعدّل </t>
    </r>
    <r>
      <rPr>
        <i/>
        <sz val="9"/>
        <color rgb="FFC0392B"/>
        <rFont val="Calibri"/>
        <charset val="1"/>
      </rPr>
      <t>28.7%).</t>
    </r>
  </si>
  <si>
    <t>النقدية</t>
  </si>
  <si>
    <t>صافي الدين</t>
  </si>
  <si>
    <r>
      <rPr>
        <b/>
        <sz val="10"/>
        <color rgb="FF000000"/>
        <rFont val="FreeSans"/>
        <family val="2"/>
      </rPr>
      <t>صافي الدين</t>
    </r>
    <r>
      <rPr>
        <b/>
        <sz val="10"/>
        <color rgb="FF000000"/>
        <rFont val="Calibri"/>
        <charset val="1"/>
      </rPr>
      <t>/</t>
    </r>
    <r>
      <rPr>
        <b/>
        <sz val="10"/>
        <color rgb="FF000000"/>
        <rFont val="FreeSans"/>
        <family val="2"/>
      </rPr>
      <t>حقوق الملكية</t>
    </r>
  </si>
  <si>
    <r>
      <rPr>
        <sz val="10"/>
        <color rgb="FF000000"/>
        <rFont val="FreeSans"/>
        <family val="2"/>
      </rPr>
      <t xml:space="preserve">صافي الربح المعلَن </t>
    </r>
    <r>
      <rPr>
        <sz val="10"/>
        <color rgb="FF000000"/>
        <rFont val="Calibri"/>
        <charset val="1"/>
      </rPr>
      <t>(</t>
    </r>
    <r>
      <rPr>
        <sz val="10"/>
        <color rgb="FF000000"/>
        <rFont val="FreeSans"/>
        <family val="2"/>
      </rPr>
      <t>من قائمة الدخل</t>
    </r>
    <r>
      <rPr>
        <sz val="10"/>
        <color rgb="FF000000"/>
        <rFont val="Calibri"/>
        <charset val="1"/>
      </rPr>
      <t>)</t>
    </r>
  </si>
  <si>
    <t>صافي الربح المعدّل</t>
  </si>
  <si>
    <t>متوسط حقوق الملكية</t>
  </si>
  <si>
    <t>متوسط الأصول</t>
  </si>
  <si>
    <r>
      <rPr>
        <b/>
        <sz val="10"/>
        <color rgb="FF1F3B57"/>
        <rFont val="Calibri"/>
        <charset val="1"/>
      </rPr>
      <t xml:space="preserve">ROE </t>
    </r>
    <r>
      <rPr>
        <b/>
        <sz val="10"/>
        <color rgb="FF1F3B57"/>
        <rFont val="FreeSans"/>
        <family val="2"/>
      </rPr>
      <t>معدّل</t>
    </r>
  </si>
  <si>
    <t>دوران الأصول</t>
  </si>
  <si>
    <r>
      <rPr>
        <b/>
        <sz val="10"/>
        <color rgb="FFC0392B"/>
        <rFont val="FreeSans"/>
        <family val="2"/>
      </rPr>
      <t xml:space="preserve">الرافعة </t>
    </r>
    <r>
      <rPr>
        <b/>
        <sz val="10"/>
        <color rgb="FFC0392B"/>
        <rFont val="Calibri"/>
        <charset val="1"/>
      </rPr>
      <t>(</t>
    </r>
    <r>
      <rPr>
        <b/>
        <sz val="10"/>
        <color rgb="FFC0392B"/>
        <rFont val="FreeSans"/>
        <family val="2"/>
      </rPr>
      <t>أصول</t>
    </r>
    <r>
      <rPr>
        <b/>
        <sz val="10"/>
        <color rgb="FFC0392B"/>
        <rFont val="Calibri"/>
        <charset val="1"/>
      </rPr>
      <t>/</t>
    </r>
    <r>
      <rPr>
        <b/>
        <sz val="10"/>
        <color rgb="FFC0392B"/>
        <rFont val="FreeSans"/>
        <family val="2"/>
      </rPr>
      <t>ملكية</t>
    </r>
    <r>
      <rPr>
        <b/>
        <sz val="10"/>
        <color rgb="FFC0392B"/>
        <rFont val="Calibri"/>
        <charset val="1"/>
      </rPr>
      <t>)</t>
    </r>
  </si>
  <si>
    <r>
      <rPr>
        <b/>
        <sz val="10"/>
        <color rgb="FF6E6E6E"/>
        <rFont val="FreeSans"/>
        <family val="2"/>
      </rPr>
      <t xml:space="preserve">فحص </t>
    </r>
    <r>
      <rPr>
        <b/>
        <sz val="10"/>
        <color rgb="FF6E6E6E"/>
        <rFont val="Calibri"/>
        <charset val="1"/>
      </rPr>
      <t>DuPont (=ROE)</t>
    </r>
  </si>
  <si>
    <t>تغطية الفوائد</t>
  </si>
  <si>
    <t>تحويل مجمل→تشغيلي</t>
  </si>
  <si>
    <r>
      <rPr>
        <sz val="10"/>
        <color rgb="FF6E6E6E"/>
        <rFont val="Calibri"/>
        <charset val="1"/>
      </rPr>
      <t>NOPAT (</t>
    </r>
    <r>
      <rPr>
        <sz val="10"/>
        <color rgb="FF6E6E6E"/>
        <rFont val="FreeSans"/>
        <family val="2"/>
      </rPr>
      <t>تشغيلي</t>
    </r>
    <r>
      <rPr>
        <sz val="10"/>
        <color rgb="FF6E6E6E"/>
        <rFont val="Calibri"/>
        <charset val="1"/>
      </rPr>
      <t>×0.75)</t>
    </r>
  </si>
  <si>
    <r>
      <rPr>
        <sz val="10"/>
        <color rgb="FF6E6E6E"/>
        <rFont val="FreeSans"/>
        <family val="2"/>
      </rPr>
      <t xml:space="preserve">رأس المال المستثمر </t>
    </r>
    <r>
      <rPr>
        <sz val="10"/>
        <color rgb="FF6E6E6E"/>
        <rFont val="Calibri"/>
        <charset val="1"/>
      </rPr>
      <t>(</t>
    </r>
    <r>
      <rPr>
        <sz val="10"/>
        <color rgb="FF6E6E6E"/>
        <rFont val="FreeSans"/>
        <family val="2"/>
      </rPr>
      <t>ملكية</t>
    </r>
    <r>
      <rPr>
        <sz val="10"/>
        <color rgb="FF6E6E6E"/>
        <rFont val="Calibri"/>
        <charset val="1"/>
      </rPr>
      <t>+</t>
    </r>
    <r>
      <rPr>
        <sz val="10"/>
        <color rgb="FF6E6E6E"/>
        <rFont val="FreeSans"/>
        <family val="2"/>
      </rPr>
      <t>صافي دين</t>
    </r>
    <r>
      <rPr>
        <sz val="10"/>
        <color rgb="FF6E6E6E"/>
        <rFont val="Calibri"/>
        <charset val="1"/>
      </rPr>
      <t>)</t>
    </r>
  </si>
  <si>
    <t>ROIC</t>
  </si>
  <si>
    <t>القيمة</t>
  </si>
  <si>
    <t>المعادلة</t>
  </si>
  <si>
    <r>
      <rPr>
        <sz val="10"/>
        <color rgb="FF000000"/>
        <rFont val="FreeSans"/>
        <family val="2"/>
      </rPr>
      <t xml:space="preserve">سعر السهم </t>
    </r>
    <r>
      <rPr>
        <sz val="10"/>
        <color rgb="FF000000"/>
        <rFont val="Calibri"/>
        <charset val="1"/>
      </rPr>
      <t>(</t>
    </r>
    <r>
      <rPr>
        <sz val="10"/>
        <color rgb="FF000000"/>
        <rFont val="FreeSans"/>
        <family val="2"/>
      </rPr>
      <t>ج</t>
    </r>
    <r>
      <rPr>
        <sz val="10"/>
        <color rgb="FF000000"/>
        <rFont val="Calibri"/>
        <charset val="1"/>
      </rPr>
      <t>.</t>
    </r>
    <r>
      <rPr>
        <sz val="10"/>
        <color rgb="FF000000"/>
        <rFont val="FreeSans"/>
        <family val="2"/>
      </rPr>
      <t>م</t>
    </r>
    <r>
      <rPr>
        <sz val="10"/>
        <color rgb="FF000000"/>
        <rFont val="Calibri"/>
        <charset val="1"/>
      </rPr>
      <t xml:space="preserve">) ← </t>
    </r>
    <r>
      <rPr>
        <sz val="10"/>
        <color rgb="FF000000"/>
        <rFont val="FreeSans"/>
        <family val="2"/>
      </rPr>
      <t>عدّله هنا</t>
    </r>
  </si>
  <si>
    <t>عدد الأسهم</t>
  </si>
  <si>
    <t>القيمة السوقية</t>
  </si>
  <si>
    <r>
      <rPr>
        <sz val="8.5"/>
        <color rgb="FF6E6E6E"/>
        <rFont val="FreeSans"/>
        <family val="2"/>
      </rPr>
      <t xml:space="preserve">سعر </t>
    </r>
    <r>
      <rPr>
        <sz val="8.5"/>
        <color rgb="FF6E6E6E"/>
        <rFont val="Calibri"/>
        <charset val="1"/>
      </rPr>
      <t xml:space="preserve">× </t>
    </r>
    <r>
      <rPr>
        <sz val="8.5"/>
        <color rgb="FF6E6E6E"/>
        <rFont val="FreeSans"/>
        <family val="2"/>
      </rPr>
      <t>أسهم</t>
    </r>
  </si>
  <si>
    <r>
      <rPr>
        <sz val="10"/>
        <color rgb="FF000000"/>
        <rFont val="FreeSans"/>
        <family val="2"/>
      </rPr>
      <t xml:space="preserve">صافي الدين </t>
    </r>
    <r>
      <rPr>
        <sz val="10"/>
        <color rgb="FF000000"/>
        <rFont val="Calibri"/>
        <charset val="1"/>
      </rPr>
      <t>2025</t>
    </r>
  </si>
  <si>
    <r>
      <rPr>
        <b/>
        <sz val="10"/>
        <color rgb="FF000000"/>
        <rFont val="FreeSans"/>
        <family val="2"/>
      </rPr>
      <t xml:space="preserve">قيمة المنشأة </t>
    </r>
    <r>
      <rPr>
        <b/>
        <sz val="10"/>
        <color rgb="FF000000"/>
        <rFont val="Calibri"/>
        <charset val="1"/>
      </rPr>
      <t>EV</t>
    </r>
  </si>
  <si>
    <r>
      <rPr>
        <sz val="8.5"/>
        <color rgb="FF6E6E6E"/>
        <rFont val="FreeSans"/>
        <family val="2"/>
      </rPr>
      <t xml:space="preserve">سوقية </t>
    </r>
    <r>
      <rPr>
        <sz val="8.5"/>
        <color rgb="FF6E6E6E"/>
        <rFont val="Calibri"/>
        <charset val="1"/>
      </rPr>
      <t xml:space="preserve">+ </t>
    </r>
    <r>
      <rPr>
        <sz val="8.5"/>
        <color rgb="FF6E6E6E"/>
        <rFont val="FreeSans"/>
        <family val="2"/>
      </rPr>
      <t>دين</t>
    </r>
  </si>
  <si>
    <r>
      <rPr>
        <sz val="10"/>
        <color rgb="FF000000"/>
        <rFont val="FreeSans"/>
        <family val="2"/>
      </rPr>
      <t xml:space="preserve">صافي الربح المعلَن </t>
    </r>
    <r>
      <rPr>
        <sz val="10"/>
        <color rgb="FF000000"/>
        <rFont val="Calibri"/>
        <charset val="1"/>
      </rPr>
      <t>2025</t>
    </r>
  </si>
  <si>
    <r>
      <rPr>
        <sz val="10"/>
        <color rgb="FF000000"/>
        <rFont val="FreeSans"/>
        <family val="2"/>
      </rPr>
      <t xml:space="preserve">صافي الربح المعدّل </t>
    </r>
    <r>
      <rPr>
        <sz val="10"/>
        <color rgb="FF000000"/>
        <rFont val="Calibri"/>
        <charset val="1"/>
      </rPr>
      <t>2025</t>
    </r>
  </si>
  <si>
    <r>
      <rPr>
        <sz val="10"/>
        <color rgb="FF000000"/>
        <rFont val="FreeSans"/>
        <family val="2"/>
      </rPr>
      <t xml:space="preserve">ربح نتائج الأعمال </t>
    </r>
    <r>
      <rPr>
        <sz val="10"/>
        <color rgb="FF000000"/>
        <rFont val="Calibri"/>
        <charset val="1"/>
      </rPr>
      <t>2025</t>
    </r>
  </si>
  <si>
    <t>EBITDA 2025</t>
  </si>
  <si>
    <r>
      <rPr>
        <b/>
        <sz val="10"/>
        <color rgb="FF000000"/>
        <rFont val="Calibri"/>
        <charset val="1"/>
      </rPr>
      <t xml:space="preserve">EPS </t>
    </r>
    <r>
      <rPr>
        <b/>
        <sz val="10"/>
        <color rgb="FF000000"/>
        <rFont val="FreeSans"/>
        <family val="2"/>
      </rPr>
      <t>معلَن</t>
    </r>
  </si>
  <si>
    <r>
      <rPr>
        <b/>
        <sz val="10"/>
        <color rgb="FF000000"/>
        <rFont val="Calibri"/>
        <charset val="1"/>
      </rPr>
      <t xml:space="preserve">EPS </t>
    </r>
    <r>
      <rPr>
        <b/>
        <sz val="10"/>
        <color rgb="FF000000"/>
        <rFont val="FreeSans"/>
        <family val="2"/>
      </rPr>
      <t>معدّل</t>
    </r>
  </si>
  <si>
    <r>
      <rPr>
        <b/>
        <sz val="10"/>
        <color rgb="FF000000"/>
        <rFont val="Calibri"/>
        <charset val="1"/>
      </rPr>
      <t xml:space="preserve">P/E </t>
    </r>
    <r>
      <rPr>
        <b/>
        <sz val="10"/>
        <color rgb="FF000000"/>
        <rFont val="FreeSans"/>
        <family val="2"/>
      </rPr>
      <t>معلَن</t>
    </r>
  </si>
  <si>
    <r>
      <rPr>
        <b/>
        <sz val="10"/>
        <color rgb="FF000000"/>
        <rFont val="Calibri"/>
        <charset val="1"/>
      </rPr>
      <t xml:space="preserve">P/E </t>
    </r>
    <r>
      <rPr>
        <b/>
        <sz val="10"/>
        <color rgb="FF000000"/>
        <rFont val="FreeSans"/>
        <family val="2"/>
      </rPr>
      <t xml:space="preserve">معدّل </t>
    </r>
    <r>
      <rPr>
        <b/>
        <sz val="10"/>
        <color rgb="FF000000"/>
        <rFont val="Calibri"/>
        <charset val="1"/>
      </rPr>
      <t>(</t>
    </r>
    <r>
      <rPr>
        <b/>
        <sz val="10"/>
        <color rgb="FF000000"/>
        <rFont val="FreeSans"/>
        <family val="2"/>
      </rPr>
      <t>الحقيقي</t>
    </r>
    <r>
      <rPr>
        <b/>
        <sz val="10"/>
        <color rgb="FF000000"/>
        <rFont val="Calibri"/>
        <charset val="1"/>
      </rPr>
      <t>)</t>
    </r>
  </si>
  <si>
    <t>الأهم للمقارنة</t>
  </si>
  <si>
    <t>EV/EBITDA</t>
  </si>
  <si>
    <r>
      <rPr>
        <b/>
        <sz val="10"/>
        <color rgb="FF000000"/>
        <rFont val="FreeSans"/>
        <family val="2"/>
      </rPr>
      <t xml:space="preserve">عائد الأرباح </t>
    </r>
    <r>
      <rPr>
        <b/>
        <sz val="10"/>
        <color rgb="FF000000"/>
        <rFont val="Calibri"/>
        <charset val="1"/>
      </rPr>
      <t>(</t>
    </r>
    <r>
      <rPr>
        <b/>
        <sz val="10"/>
        <color rgb="FF000000"/>
        <rFont val="FreeSans"/>
        <family val="2"/>
      </rPr>
      <t>معدّل</t>
    </r>
    <r>
      <rPr>
        <b/>
        <sz val="10"/>
        <color rgb="FF000000"/>
        <rFont val="Calibri"/>
        <charset val="1"/>
      </rPr>
      <t>)</t>
    </r>
  </si>
  <si>
    <t>قارنه بالفائدة ↓</t>
  </si>
  <si>
    <t>السيناريو</t>
  </si>
  <si>
    <t>نمو</t>
  </si>
  <si>
    <r>
      <rPr>
        <b/>
        <sz val="11"/>
        <color rgb="FF000000"/>
        <rFont val="FreeSans"/>
        <family val="2"/>
      </rPr>
      <t xml:space="preserve">إيراد </t>
    </r>
    <r>
      <rPr>
        <b/>
        <sz val="11"/>
        <color rgb="FF000000"/>
        <rFont val="Calibri"/>
        <charset val="1"/>
      </rPr>
      <t>2026 (</t>
    </r>
    <r>
      <rPr>
        <b/>
        <sz val="11"/>
        <color rgb="FF000000"/>
        <rFont val="FreeSans"/>
        <family val="2"/>
      </rPr>
      <t>مليون</t>
    </r>
    <r>
      <rPr>
        <b/>
        <sz val="11"/>
        <color rgb="FF000000"/>
        <rFont val="Calibri"/>
        <charset val="1"/>
      </rPr>
      <t>)</t>
    </r>
  </si>
  <si>
    <t>متحفظ</t>
  </si>
  <si>
    <t>أساسي</t>
  </si>
  <si>
    <t>متفائل</t>
  </si>
  <si>
    <t>الربع</t>
  </si>
  <si>
    <t>الحصة</t>
  </si>
  <si>
    <r>
      <rPr>
        <b/>
        <sz val="11"/>
        <color rgb="FF000000"/>
        <rFont val="FreeSans"/>
        <family val="2"/>
      </rPr>
      <t xml:space="preserve">الإيراد </t>
    </r>
    <r>
      <rPr>
        <b/>
        <sz val="11"/>
        <color rgb="FF000000"/>
        <rFont val="Calibri"/>
        <charset val="1"/>
      </rPr>
      <t>(</t>
    </r>
    <r>
      <rPr>
        <b/>
        <sz val="11"/>
        <color rgb="FF000000"/>
        <rFont val="FreeSans"/>
        <family val="2"/>
      </rPr>
      <t>مليون</t>
    </r>
    <r>
      <rPr>
        <b/>
        <sz val="11"/>
        <color rgb="FF000000"/>
        <rFont val="Calibri"/>
        <charset val="1"/>
      </rPr>
      <t>)</t>
    </r>
  </si>
  <si>
    <t>الهامش المتوقع</t>
  </si>
  <si>
    <r>
      <rPr>
        <b/>
        <sz val="10"/>
        <color rgb="FF1F3B57"/>
        <rFont val="Calibri"/>
        <charset val="1"/>
      </rPr>
      <t>Q1 2026 (</t>
    </r>
    <r>
      <rPr>
        <b/>
        <sz val="10"/>
        <color rgb="FF1F3B57"/>
        <rFont val="FreeSans"/>
        <family val="2"/>
      </rPr>
      <t>فعلي</t>
    </r>
    <r>
      <rPr>
        <b/>
        <sz val="10"/>
        <color rgb="FF1F3B57"/>
        <rFont val="Calibri"/>
        <charset val="1"/>
      </rPr>
      <t>)</t>
    </r>
  </si>
  <si>
    <t>Q2 2026</t>
  </si>
  <si>
    <t>Q3 2026</t>
  </si>
  <si>
    <t>Q4 2026</t>
  </si>
  <si>
    <r>
      <rPr>
        <b/>
        <sz val="10"/>
        <color rgb="FF000000"/>
        <rFont val="FreeSans"/>
        <family val="2"/>
      </rPr>
      <t xml:space="preserve">إجمالي </t>
    </r>
    <r>
      <rPr>
        <b/>
        <sz val="10"/>
        <color rgb="FF000000"/>
        <rFont val="Calibri"/>
        <charset val="1"/>
      </rPr>
      <t>2026</t>
    </r>
  </si>
  <si>
    <t>تصريحات الإدارة — الاكتشافات الموثقة</t>
  </si>
  <si>
    <t>الموضوع</t>
  </si>
  <si>
    <t>اللي اتقال</t>
  </si>
  <si>
    <t>الدلالة</t>
  </si>
  <si>
    <r>
      <rPr>
        <b/>
        <sz val="10"/>
        <color rgb="FF000000"/>
        <rFont val="FreeSans"/>
        <family val="2"/>
      </rPr>
      <t xml:space="preserve">سر قفزة </t>
    </r>
    <r>
      <rPr>
        <b/>
        <sz val="10"/>
        <color rgb="FF000000"/>
        <rFont val="Calibri"/>
        <charset val="1"/>
      </rPr>
      <t>2024</t>
    </r>
  </si>
  <si>
    <r>
      <rPr>
        <sz val="9"/>
        <color rgb="FF1F3B57"/>
        <rFont val="FreeSans"/>
        <family val="2"/>
      </rPr>
      <t xml:space="preserve">عامل مؤقت غير مستدام — يفسر </t>
    </r>
    <r>
      <rPr>
        <sz val="9"/>
        <color rgb="FF1F3B57"/>
        <rFont val="Calibri"/>
        <charset val="1"/>
      </rPr>
      <t xml:space="preserve">+200% </t>
    </r>
    <r>
      <rPr>
        <sz val="9"/>
        <color rgb="FF1F3B57"/>
        <rFont val="FreeSans"/>
        <family val="2"/>
      </rPr>
      <t>ثم −</t>
    </r>
    <r>
      <rPr>
        <sz val="9"/>
        <color rgb="FF1F3B57"/>
        <rFont val="Calibri"/>
        <charset val="1"/>
      </rPr>
      <t xml:space="preserve">56% </t>
    </r>
    <r>
      <rPr>
        <sz val="9"/>
        <color rgb="FF1F3B57"/>
        <rFont val="FreeSans"/>
        <family val="2"/>
      </rPr>
      <t>للمركزات</t>
    </r>
  </si>
  <si>
    <r>
      <rPr>
        <sz val="9"/>
        <color rgb="FF1F3B57"/>
        <rFont val="FreeSans"/>
        <family val="2"/>
      </rPr>
      <t xml:space="preserve">تأكيد نهائي أن </t>
    </r>
    <r>
      <rPr>
        <sz val="9"/>
        <color rgb="FF1F3B57"/>
        <rFont val="Calibri"/>
        <charset val="1"/>
      </rPr>
      <t xml:space="preserve">2024 </t>
    </r>
    <r>
      <rPr>
        <sz val="9"/>
        <color rgb="FF1F3B57"/>
        <rFont val="FreeSans"/>
        <family val="2"/>
      </rPr>
      <t>كانت استثنائية</t>
    </r>
  </si>
  <si>
    <t>التطبيع الرسمي</t>
  </si>
  <si>
    <r>
      <rPr>
        <sz val="9"/>
        <color rgb="FF1F3B57"/>
        <rFont val="FreeSans"/>
        <family val="2"/>
      </rPr>
      <t xml:space="preserve">الإدارة نفسها تؤكد تعديل </t>
    </r>
    <r>
      <rPr>
        <sz val="9"/>
        <color rgb="FF1F3B57"/>
        <rFont val="Calibri"/>
        <charset val="1"/>
      </rPr>
      <t>EAS 13</t>
    </r>
  </si>
  <si>
    <t>التوسع الجغرافي</t>
  </si>
  <si>
    <r>
      <rPr>
        <sz val="9"/>
        <color rgb="FF1F3B57"/>
        <rFont val="FreeSans"/>
        <family val="2"/>
      </rPr>
      <t xml:space="preserve">بداية </t>
    </r>
    <r>
      <rPr>
        <sz val="9"/>
        <color rgb="FF1F3B57"/>
        <rFont val="Calibri"/>
        <charset val="1"/>
      </rPr>
      <t xml:space="preserve">hedge </t>
    </r>
    <r>
      <rPr>
        <sz val="9"/>
        <color rgb="FF1F3B57"/>
        <rFont val="FreeSans"/>
        <family val="2"/>
      </rPr>
      <t>طبيعي</t>
    </r>
  </si>
  <si>
    <t>منتجات جديدة</t>
  </si>
  <si>
    <t>ابتكار يقود الكميات</t>
  </si>
  <si>
    <t>رمضان</t>
  </si>
  <si>
    <t>يدعم نمط الموسمية المكتشف</t>
  </si>
  <si>
    <r>
      <rPr>
        <b/>
        <sz val="10"/>
        <color rgb="FF000000"/>
        <rFont val="FreeSans"/>
        <family val="2"/>
      </rPr>
      <t xml:space="preserve">الاندماج فبراير </t>
    </r>
    <r>
      <rPr>
        <b/>
        <sz val="10"/>
        <color rgb="FF000000"/>
        <rFont val="Calibri"/>
        <charset val="1"/>
      </rPr>
      <t>2025</t>
    </r>
  </si>
  <si>
    <r>
      <rPr>
        <sz val="9"/>
        <color rgb="FF000000"/>
        <rFont val="FreeSans"/>
        <family val="2"/>
      </rPr>
      <t xml:space="preserve">مارس وحده أضاف </t>
    </r>
    <r>
      <rPr>
        <sz val="9"/>
        <color rgb="FF000000"/>
        <rFont val="Calibri"/>
        <charset val="1"/>
      </rPr>
      <t xml:space="preserve">1.2 </t>
    </r>
    <r>
      <rPr>
        <sz val="9"/>
        <color rgb="FF000000"/>
        <rFont val="FreeSans"/>
        <family val="2"/>
      </rPr>
      <t>مليار مجمل ربح للأرباح المرحلة</t>
    </r>
  </si>
  <si>
    <t>يفسر فرق نتائج الأعمال عن القوائم</t>
  </si>
  <si>
    <t>بخيرو</t>
  </si>
  <si>
    <r>
      <rPr>
        <sz val="9"/>
        <color rgb="FF000000"/>
        <rFont val="FreeSans"/>
        <family val="2"/>
      </rPr>
      <t xml:space="preserve">الماركة الاقتصادية </t>
    </r>
    <r>
      <rPr>
        <sz val="9"/>
        <color rgb="FF000000"/>
        <rFont val="Calibri"/>
        <charset val="1"/>
      </rPr>
      <t xml:space="preserve">37% </t>
    </r>
    <r>
      <rPr>
        <sz val="9"/>
        <color rgb="FF000000"/>
        <rFont val="FreeSans"/>
        <family val="2"/>
      </rPr>
      <t>من الألبان</t>
    </r>
  </si>
  <si>
    <t>دليل نزول المستهلك للأرخص</t>
  </si>
  <si>
    <r>
      <t xml:space="preserve">البيانات الفصلية </t>
    </r>
    <r>
      <rPr>
        <b/>
        <sz val="13"/>
        <color rgb="FFFFFFFF"/>
        <rFont val="Calibri"/>
        <charset val="1"/>
      </rPr>
      <t>(</t>
    </r>
    <r>
      <rPr>
        <b/>
        <sz val="13"/>
        <color rgb="FFFFFFFF"/>
        <rFont val="FreeSans"/>
        <family val="2"/>
      </rPr>
      <t>مليون ج</t>
    </r>
    <r>
      <rPr>
        <b/>
        <sz val="13"/>
        <color rgb="FFFFFFFF"/>
        <rFont val="Calibri"/>
        <charset val="1"/>
      </rPr>
      <t>.</t>
    </r>
    <r>
      <rPr>
        <b/>
        <sz val="13"/>
        <color rgb="FFFFFFFF"/>
        <rFont val="FreeSans"/>
        <family val="2"/>
      </rPr>
      <t>م</t>
    </r>
    <r>
      <rPr>
        <b/>
        <sz val="13"/>
        <color rgb="FFFFFFFF"/>
        <rFont val="Calibri"/>
        <charset val="1"/>
      </rPr>
      <t xml:space="preserve">) — 21 </t>
    </r>
    <r>
      <rPr>
        <b/>
        <sz val="13"/>
        <color rgb="FFFFFFFF"/>
        <rFont val="FreeSans"/>
        <family val="2"/>
      </rPr>
      <t>ربعاً</t>
    </r>
  </si>
  <si>
    <t xml:space="preserve">خسارة اضمحلال / مخصص انخفاض </t>
  </si>
  <si>
    <t xml:space="preserve"> تقريبي</t>
  </si>
  <si>
    <t xml:space="preserve"> لا X</t>
  </si>
  <si>
    <t>تكديس المخزون لتفادي تعويمات بتكلفه اعلي مستقبلا</t>
  </si>
  <si>
    <r>
      <t xml:space="preserve">الرفع المالي والعوائد — </t>
    </r>
    <r>
      <rPr>
        <b/>
        <sz val="13"/>
        <color rgb="FFFFFFFF"/>
        <rFont val="Calibri"/>
        <charset val="1"/>
      </rPr>
      <t xml:space="preserve">DuPont </t>
    </r>
    <r>
      <rPr>
        <b/>
        <sz val="13"/>
        <color rgb="FFFFFFFF"/>
        <rFont val="FreeSans"/>
        <family val="2"/>
      </rPr>
      <t xml:space="preserve">و </t>
    </r>
    <r>
      <rPr>
        <b/>
        <sz val="13"/>
        <color rgb="FFFFFFFF"/>
        <rFont val="Calibri"/>
        <charset val="1"/>
      </rPr>
      <t xml:space="preserve">ROIC </t>
    </r>
  </si>
  <si>
    <r>
      <t xml:space="preserve">قائمة الدخل المجمّعة </t>
    </r>
    <r>
      <rPr>
        <b/>
        <sz val="13"/>
        <color rgb="FFFFFFFF"/>
        <rFont val="Calibri"/>
        <charset val="1"/>
      </rPr>
      <t>(</t>
    </r>
    <r>
      <rPr>
        <b/>
        <sz val="13"/>
        <color rgb="FFFFFFFF"/>
        <rFont val="FreeSans"/>
        <family val="2"/>
      </rPr>
      <t>بالجنيه</t>
    </r>
    <r>
      <rPr>
        <b/>
        <sz val="13"/>
        <color rgb="FFFFFFFF"/>
        <rFont val="Calibri"/>
        <charset val="1"/>
      </rPr>
      <t xml:space="preserve">) </t>
    </r>
  </si>
  <si>
    <t>فروق العملة — المعلَن مقابل المعدّل</t>
  </si>
  <si>
    <r>
      <t xml:space="preserve">رأس المال العامل — </t>
    </r>
    <r>
      <rPr>
        <b/>
        <sz val="13"/>
        <color rgb="FFFFFFFF"/>
        <rFont val="Calibri"/>
        <charset val="1"/>
      </rPr>
      <t>CCC</t>
    </r>
  </si>
  <si>
    <r>
      <t xml:space="preserve">قائمة المركز المالي </t>
    </r>
    <r>
      <rPr>
        <b/>
        <sz val="13"/>
        <color rgb="FFFFFFFF"/>
        <rFont val="Calibri"/>
        <charset val="1"/>
      </rPr>
      <t>(</t>
    </r>
    <r>
      <rPr>
        <b/>
        <sz val="13"/>
        <color rgb="FFFFFFFF"/>
        <rFont val="FreeSans"/>
        <family val="2"/>
      </rPr>
      <t>بالجنيه</t>
    </r>
    <r>
      <rPr>
        <b/>
        <sz val="13"/>
        <color rgb="FFFFFFFF"/>
        <rFont val="Calibri"/>
        <charset val="1"/>
      </rPr>
      <t xml:space="preserve">) </t>
    </r>
  </si>
  <si>
    <t>التقييم</t>
  </si>
  <si>
    <r>
      <t xml:space="preserve">نقطة التحول </t>
    </r>
    <r>
      <rPr>
        <b/>
        <sz val="10"/>
        <color rgb="FF000000"/>
        <rFont val="Calibri"/>
        <charset val="1"/>
      </rPr>
      <t>Q4-25</t>
    </r>
  </si>
  <si>
    <r>
      <t xml:space="preserve"> </t>
    </r>
    <r>
      <rPr>
        <sz val="9"/>
        <color rgb="FF000000"/>
        <rFont val="FreeSans"/>
        <family val="2"/>
      </rPr>
      <t xml:space="preserve">دولة </t>
    </r>
    <r>
      <rPr>
        <sz val="9"/>
        <color rgb="FF000000"/>
        <rFont val="Calibri"/>
        <charset val="1"/>
      </rPr>
      <t xml:space="preserve">+ </t>
    </r>
    <r>
      <rPr>
        <sz val="9"/>
        <color rgb="FF000000"/>
        <rFont val="FreeSans"/>
        <family val="2"/>
      </rPr>
      <t>شراكة الراشد بالسعودية</t>
    </r>
  </si>
  <si>
    <r>
      <rPr>
        <b/>
        <sz val="9"/>
        <color rgb="FF000000"/>
        <rFont val="FreeSans"/>
        <family val="2"/>
      </rPr>
      <t xml:space="preserve">   بودينج </t>
    </r>
    <r>
      <rPr>
        <b/>
        <sz val="9"/>
        <color rgb="FF000000"/>
        <rFont val="Calibri"/>
        <family val="2"/>
      </rPr>
      <t>(</t>
    </r>
    <r>
      <rPr>
        <b/>
        <sz val="9"/>
        <color rgb="FF000000"/>
        <rFont val="FreeSans"/>
        <family val="2"/>
      </rPr>
      <t xml:space="preserve">نهاية </t>
    </r>
    <r>
      <rPr>
        <b/>
        <sz val="9"/>
        <color rgb="FF000000"/>
        <rFont val="Calibri"/>
        <family val="2"/>
      </rPr>
      <t xml:space="preserve">2024) </t>
    </r>
    <r>
      <rPr>
        <b/>
        <sz val="9"/>
        <color rgb="FF000000"/>
        <rFont val="FreeSans"/>
        <family val="2"/>
      </rPr>
      <t>بثلاث نكهات</t>
    </r>
  </si>
  <si>
    <r>
      <rPr>
        <b/>
        <sz val="9"/>
        <color rgb="FF000000"/>
        <rFont val="FreeSans"/>
        <family val="2"/>
      </rPr>
      <t xml:space="preserve">  أسعار مركز البرتقال العالمية بلغت مستويات قياسية في </t>
    </r>
    <r>
      <rPr>
        <b/>
        <sz val="9"/>
        <color rgb="FF000000"/>
        <rFont val="Calibri"/>
        <family val="2"/>
      </rPr>
      <t xml:space="preserve">2024 </t>
    </r>
    <r>
      <rPr>
        <b/>
        <sz val="9"/>
        <color rgb="FF000000"/>
        <rFont val="FreeSans"/>
        <family val="2"/>
      </rPr>
      <t xml:space="preserve">وانخفضت </t>
    </r>
    <r>
      <rPr>
        <b/>
        <sz val="9"/>
        <color rgb="FF000000"/>
        <rFont val="Calibri"/>
        <family val="2"/>
      </rPr>
      <t>2025</t>
    </r>
  </si>
  <si>
    <r>
      <t xml:space="preserve">  ربح </t>
    </r>
    <r>
      <rPr>
        <sz val="9"/>
        <color rgb="FF000000"/>
        <rFont val="Calibri"/>
        <charset val="1"/>
      </rPr>
      <t xml:space="preserve">+115% </t>
    </r>
    <r>
      <rPr>
        <sz val="9"/>
        <color rgb="FF000000"/>
        <rFont val="FreeSans"/>
        <family val="2"/>
      </rPr>
      <t>و</t>
    </r>
    <r>
      <rPr>
        <sz val="9"/>
        <color rgb="FF000000"/>
        <rFont val="Calibri"/>
        <charset val="1"/>
      </rPr>
      <t xml:space="preserve">EBITDA +87% </t>
    </r>
    <r>
      <rPr>
        <sz val="9"/>
        <color rgb="FF000000"/>
        <rFont val="FreeSans"/>
        <family val="2"/>
      </rPr>
      <t>بعد زوال قاعدة المركزات</t>
    </r>
  </si>
  <si>
    <r>
      <t xml:space="preserve">FY24 </t>
    </r>
    <r>
      <rPr>
        <sz val="9"/>
        <color rgb="FF000000"/>
        <rFont val="FreeSans"/>
        <family val="2"/>
      </rPr>
      <t>المعدّل</t>
    </r>
    <r>
      <rPr>
        <sz val="9"/>
        <color rgb="FF000000"/>
        <rFont val="Calibri"/>
        <charset val="1"/>
      </rPr>
      <t xml:space="preserve">: </t>
    </r>
    <r>
      <rPr>
        <sz val="9"/>
        <color rgb="FF000000"/>
        <rFont val="FreeSans"/>
        <family val="2"/>
      </rPr>
      <t xml:space="preserve">هامش </t>
    </r>
    <r>
      <rPr>
        <sz val="9"/>
        <color rgb="FF000000"/>
        <rFont val="Calibri"/>
        <charset val="1"/>
      </rPr>
      <t xml:space="preserve">28.3% </t>
    </r>
    <r>
      <rPr>
        <sz val="9"/>
        <color rgb="FF000000"/>
        <rFont val="FreeSans"/>
        <family val="2"/>
      </rPr>
      <t xml:space="preserve">بدل </t>
    </r>
    <r>
      <rPr>
        <sz val="9"/>
        <color rgb="FF000000"/>
        <rFont val="Calibri"/>
        <charset val="1"/>
      </rPr>
      <t xml:space="preserve">30.4% </t>
    </r>
    <r>
      <rPr>
        <sz val="9"/>
        <color rgb="FF000000"/>
        <rFont val="FreeSans"/>
        <family val="2"/>
      </rPr>
      <t xml:space="preserve">وربح </t>
    </r>
    <r>
      <rPr>
        <sz val="9"/>
        <color rgb="FF000000"/>
        <rFont val="Calibri"/>
        <charset val="1"/>
      </rPr>
      <t>~2,386</t>
    </r>
    <r>
      <rPr>
        <sz val="9"/>
        <color rgb="FF000000"/>
        <rFont val="FreeSans"/>
        <family val="2"/>
      </rPr>
      <t xml:space="preserve">م  </t>
    </r>
  </si>
  <si>
    <t>طفرة طلب على المنتجات في رمضان</t>
  </si>
  <si>
    <t>Anomalies:عرفنا بعدها ان سببهم أسعار مركزات البرتقال الاستثنائيه</t>
  </si>
  <si>
    <r>
      <t xml:space="preserve">توقّع </t>
    </r>
    <r>
      <rPr>
        <b/>
        <sz val="13"/>
        <color rgb="FFFFFFFF"/>
        <rFont val="Calibri"/>
        <charset val="1"/>
      </rPr>
      <t xml:space="preserve">2026 </t>
    </r>
    <r>
      <rPr>
        <b/>
        <sz val="13"/>
        <color rgb="FFFFFFFF"/>
        <rFont val="FreeSans"/>
        <family val="2"/>
      </rPr>
      <t>للسنه كلها</t>
    </r>
  </si>
  <si>
    <t>حصص أرباح كل كوارتر في السنه</t>
  </si>
  <si>
    <r>
      <t xml:space="preserve">التوزيع الربعي </t>
    </r>
    <r>
      <rPr>
        <b/>
        <sz val="11"/>
        <color rgb="FFFFFFFF"/>
        <rFont val="Calibri"/>
        <charset val="1"/>
      </rPr>
      <t>(</t>
    </r>
    <r>
      <rPr>
        <b/>
        <sz val="11"/>
        <color rgb="FFFFFFFF"/>
        <rFont val="FreeSans"/>
        <family val="2"/>
      </rPr>
      <t>السيناريو الأساسي</t>
    </r>
    <r>
      <rPr>
        <b/>
        <sz val="11"/>
        <color rgb="FFFFFFFF"/>
        <rFont val="Calibri"/>
        <charset val="1"/>
      </rPr>
      <t>)</t>
    </r>
  </si>
  <si>
    <t>حصص تكاليف كل كوارتر في السنه من أرباحها</t>
  </si>
  <si>
    <t>كدا عرفنا ليه مجمل الربح كان قليل مقارنة بالباقي</t>
  </si>
  <si>
    <t>ده مكسرش النمط ده حصل بسبب تزامن رمضان مع صدمه دولاريه وتعويم حاد لسنة 2025</t>
  </si>
  <si>
    <r>
      <rPr>
        <i/>
        <sz val="9"/>
        <color rgb="FF1F3B57"/>
        <rFont val="Calibri"/>
        <charset val="1"/>
      </rPr>
      <t xml:space="preserve"> </t>
    </r>
    <r>
      <rPr>
        <i/>
        <sz val="9"/>
        <color rgb="FF1F3B57"/>
        <rFont val="FreeSans"/>
        <family val="2"/>
      </rPr>
      <t xml:space="preserve">أعلى هامش سنوي يقع دائماً في الربع الذي يحتوي رمضان </t>
    </r>
    <r>
      <rPr>
        <i/>
        <sz val="9"/>
        <color rgb="FF1F3B57"/>
        <rFont val="Calibri"/>
        <charset val="1"/>
      </rPr>
      <t xml:space="preserve">(4/5 </t>
    </r>
    <r>
      <rPr>
        <i/>
        <sz val="9"/>
        <color rgb="FF1F3B57"/>
        <rFont val="FreeSans"/>
        <family val="2"/>
      </rPr>
      <t>سنوات</t>
    </r>
    <r>
      <rPr>
        <i/>
        <sz val="9"/>
        <color rgb="FF1F3B57"/>
        <rFont val="Calibri"/>
        <charset val="1"/>
      </rPr>
      <t xml:space="preserve">). </t>
    </r>
    <r>
      <rPr>
        <i/>
        <sz val="9"/>
        <color rgb="FF1F3B57"/>
        <rFont val="FreeSans"/>
        <family val="2"/>
      </rPr>
      <t xml:space="preserve">رمضان </t>
    </r>
    <r>
      <rPr>
        <i/>
        <sz val="9"/>
        <color rgb="FF1F3B57"/>
        <rFont val="Calibri"/>
        <charset val="1"/>
      </rPr>
      <t xml:space="preserve">2026 </t>
    </r>
    <r>
      <rPr>
        <i/>
        <sz val="9"/>
        <color rgb="FF1F3B57"/>
        <rFont val="FreeSans"/>
        <family val="2"/>
      </rPr>
      <t xml:space="preserve">وقع كاملاً في </t>
    </r>
    <r>
      <rPr>
        <i/>
        <sz val="9"/>
        <color rgb="FF1F3B57"/>
        <rFont val="Calibri"/>
        <charset val="1"/>
      </rPr>
      <t xml:space="preserve">Q1 → Q2 2026 </t>
    </r>
    <r>
      <rPr>
        <i/>
        <sz val="9"/>
        <color rgb="FF1F3B57"/>
        <rFont val="FreeSans"/>
        <family val="2"/>
      </rPr>
      <t>سيكون أضعف هامشاً</t>
    </r>
    <r>
      <rPr>
        <i/>
        <sz val="9"/>
        <color rgb="FF1F3B57"/>
        <rFont val="Calibri"/>
        <charset val="1"/>
      </rPr>
      <t>.</t>
    </r>
  </si>
  <si>
    <t>1Q25 Red Flag 🚩</t>
  </si>
  <si>
    <t>هامش صافي معلن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</si>
</sst>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ج.م.‏&quot;_-;\-* #,##0.00\ &quot;ج.م.‏&quot;_-;_-* &quot;-&quot;??\ &quot;ج.م.‏&quot;_-;_-@_-"/>
    <numFmt numFmtId="164" formatCode="#,##0;\(#,##0\);\-"/>
    <numFmt numFmtId="165" formatCode="0.0%;\(0.0%\);\-"/>
    <numFmt numFmtId="166" formatCode="0.0\x"/>
    <numFmt numFmtId="176" formatCode="_-* #,##0\ &quot;ج.م.‏&quot;_-;\-* #,##0\ &quot;ج.م.‏&quot;_-;_-* &quot;-&quot;??\ &quot;ج.م.‏&quot;_-;_-@_-"/>
  </numFmts>
  <fonts count="67">
    <font>
      <sz val="11"/>
      <color theme="1"/>
      <name val="Calibri"/>
      <family val="2"/>
      <charset val="1"/>
    </font>
    <font>
      <sz val="10"/>
      <name val="Arial"/>
    </font>
    <font>
      <b/>
      <sz val="13"/>
      <color rgb="FFFFFFFF"/>
      <name val="FreeSans"/>
      <family val="2"/>
    </font>
    <font>
      <b/>
      <sz val="13"/>
      <color rgb="FFFFFFFF"/>
      <name val="Calibri"/>
      <charset val="1"/>
    </font>
    <font>
      <b/>
      <sz val="11"/>
      <color rgb="FF000000"/>
      <name val="FreeSans"/>
      <family val="2"/>
    </font>
    <font>
      <b/>
      <sz val="11"/>
      <color rgb="FF000000"/>
      <name val="Calibri"/>
      <charset val="1"/>
    </font>
    <font>
      <b/>
      <sz val="10"/>
      <color rgb="FF000000"/>
      <name val="Calibri"/>
      <charset val="1"/>
    </font>
    <font>
      <b/>
      <sz val="10"/>
      <color rgb="FF000000"/>
      <name val="FreeSans"/>
      <family val="2"/>
    </font>
    <font>
      <sz val="10"/>
      <color rgb="FF000000"/>
      <name val="FreeSans"/>
      <family val="2"/>
    </font>
    <font>
      <sz val="10"/>
      <color rgb="FF000000"/>
      <name val="Calibri"/>
      <charset val="1"/>
    </font>
    <font>
      <sz val="10"/>
      <color rgb="FF1F6FB2"/>
      <name val="Calibri"/>
      <charset val="1"/>
    </font>
    <font>
      <sz val="8"/>
      <color rgb="FF6E6E6E"/>
      <name val="FreeSans"/>
      <family val="2"/>
    </font>
    <font>
      <sz val="8"/>
      <color rgb="FF6E6E6E"/>
      <name val="Calibri"/>
      <charset val="1"/>
    </font>
    <font>
      <b/>
      <sz val="10"/>
      <color rgb="FF1F3B57"/>
      <name val="Calibri"/>
      <charset val="1"/>
    </font>
    <font>
      <sz val="10"/>
      <color rgb="FF1E8449"/>
      <name val="Calibri"/>
      <charset val="1"/>
    </font>
    <font>
      <i/>
      <sz val="9"/>
      <color rgb="FFC0392B"/>
      <name val="Calibri"/>
      <charset val="1"/>
    </font>
    <font>
      <i/>
      <sz val="9"/>
      <color rgb="FFC0392B"/>
      <name val="FreeSans"/>
      <family val="2"/>
    </font>
    <font>
      <b/>
      <sz val="9"/>
      <color rgb="FF000000"/>
      <name val="Calibri"/>
      <charset val="1"/>
    </font>
    <font>
      <b/>
      <sz val="9"/>
      <color rgb="FFFFFFFF"/>
      <name val="Calibri"/>
      <charset val="1"/>
    </font>
    <font>
      <sz val="9"/>
      <color rgb="FF1F6FB2"/>
      <name val="Calibri"/>
      <charset val="1"/>
    </font>
    <font>
      <b/>
      <sz val="9"/>
      <color rgb="FF1F3B57"/>
      <name val="Calibri"/>
      <charset val="1"/>
    </font>
    <font>
      <sz val="9"/>
      <color rgb="FF1F3B57"/>
      <name val="Calibri"/>
      <charset val="1"/>
    </font>
    <font>
      <i/>
      <sz val="9"/>
      <color rgb="FF6E6E6E"/>
      <name val="FreeSans"/>
      <family val="2"/>
    </font>
    <font>
      <i/>
      <sz val="9"/>
      <color rgb="FF6E6E6E"/>
      <name val="Calibri"/>
      <charset val="1"/>
    </font>
    <font>
      <b/>
      <sz val="10"/>
      <color rgb="FF1E8449"/>
      <name val="FreeSans"/>
      <family val="2"/>
    </font>
    <font>
      <i/>
      <sz val="9"/>
      <color rgb="FF1F3B57"/>
      <name val="FreeSans"/>
      <family val="2"/>
    </font>
    <font>
      <i/>
      <sz val="9"/>
      <color rgb="FF1F3B57"/>
      <name val="Calibri"/>
      <charset val="1"/>
    </font>
    <font>
      <b/>
      <sz val="10"/>
      <color rgb="FFFFFFFF"/>
      <name val="FreeSans"/>
      <family val="2"/>
    </font>
    <font>
      <b/>
      <sz val="10"/>
      <color rgb="FF1E8449"/>
      <name val="Calibri"/>
      <charset val="1"/>
    </font>
    <font>
      <b/>
      <sz val="10"/>
      <color rgb="FFC0392B"/>
      <name val="FreeSans"/>
      <family val="2"/>
    </font>
    <font>
      <b/>
      <sz val="10"/>
      <color rgb="FFC0392B"/>
      <name val="Calibri"/>
      <charset val="1"/>
    </font>
    <font>
      <sz val="10"/>
      <color rgb="FF1F3B57"/>
      <name val="Calibri"/>
      <charset val="1"/>
    </font>
    <font>
      <sz val="8.5"/>
      <color rgb="FF000000"/>
      <name val="FreeSans"/>
      <family val="2"/>
    </font>
    <font>
      <sz val="8.5"/>
      <color rgb="FF000000"/>
      <name val="Calibri"/>
      <charset val="1"/>
    </font>
    <font>
      <b/>
      <sz val="11"/>
      <color rgb="FFFFFFFF"/>
      <name val="FreeSans"/>
      <family val="2"/>
    </font>
    <font>
      <b/>
      <sz val="11"/>
      <color rgb="FFFFFFFF"/>
      <name val="Calibri"/>
      <charset val="1"/>
    </font>
    <font>
      <sz val="10"/>
      <color rgb="FF1F6FB2"/>
      <name val="FreeSans"/>
      <family val="2"/>
    </font>
    <font>
      <sz val="8.5"/>
      <color rgb="FF1E8449"/>
      <name val="FreeSans"/>
      <family val="2"/>
    </font>
    <font>
      <sz val="10"/>
      <color rgb="FFC0392B"/>
      <name val="FreeSans"/>
      <family val="2"/>
    </font>
    <font>
      <sz val="10"/>
      <color rgb="FFC0392B"/>
      <name val="Calibri"/>
      <charset val="1"/>
    </font>
    <font>
      <sz val="8.5"/>
      <color rgb="FFC0392B"/>
      <name val="Calibri"/>
      <charset val="1"/>
    </font>
    <font>
      <sz val="8.5"/>
      <color rgb="FFC0392B"/>
      <name val="FreeSans"/>
      <family val="2"/>
    </font>
    <font>
      <b/>
      <sz val="10"/>
      <color rgb="FF1F6FB2"/>
      <name val="Calibri"/>
      <charset val="1"/>
    </font>
    <font>
      <sz val="10"/>
      <color rgb="FF6E6E6E"/>
      <name val="FreeSans"/>
      <family val="2"/>
    </font>
    <font>
      <sz val="10"/>
      <color rgb="FF6E6E6E"/>
      <name val="Calibri"/>
      <charset val="1"/>
    </font>
    <font>
      <b/>
      <sz val="10"/>
      <color rgb="FF1F3B57"/>
      <name val="FreeSans"/>
      <family val="2"/>
    </font>
    <font>
      <b/>
      <sz val="10"/>
      <color rgb="FF6E6E6E"/>
      <name val="FreeSans"/>
      <family val="2"/>
    </font>
    <font>
      <b/>
      <sz val="10"/>
      <color rgb="FF6E6E6E"/>
      <name val="Calibri"/>
      <charset val="1"/>
    </font>
    <font>
      <sz val="8.5"/>
      <color rgb="FF6E6E6E"/>
      <name val="Calibri"/>
      <charset val="1"/>
    </font>
    <font>
      <sz val="8.5"/>
      <color rgb="FF6E6E6E"/>
      <name val="FreeSans"/>
      <family val="2"/>
    </font>
    <font>
      <sz val="9"/>
      <color rgb="FF000000"/>
      <name val="FreeSans"/>
      <family val="2"/>
    </font>
    <font>
      <sz val="9"/>
      <color rgb="FF000000"/>
      <name val="Calibri"/>
      <charset val="1"/>
    </font>
    <font>
      <sz val="9"/>
      <color rgb="FF1F3B57"/>
      <name val="FreeSan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4"/>
      <color theme="1"/>
      <name val="Aptos"/>
      <family val="2"/>
    </font>
    <font>
      <b/>
      <sz val="9"/>
      <color rgb="FF000000"/>
      <name val="Calibri"/>
      <family val="2"/>
    </font>
    <font>
      <b/>
      <sz val="10"/>
      <color rgb="FFFF0000"/>
      <name val="FreeSans"/>
      <charset val="178"/>
    </font>
    <font>
      <b/>
      <sz val="9"/>
      <color rgb="FF1F3B57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FreeSans"/>
      <family val="2"/>
      <charset val="178"/>
    </font>
    <font>
      <b/>
      <sz val="9"/>
      <color rgb="FF000000"/>
      <name val="FreeSans"/>
      <family val="2"/>
    </font>
    <font>
      <b/>
      <sz val="8"/>
      <color theme="1"/>
      <name val="Calibri"/>
      <family val="2"/>
    </font>
    <font>
      <b/>
      <sz val="10"/>
      <color theme="0"/>
      <name val="Arial"/>
      <family val="2"/>
    </font>
    <font>
      <sz val="10"/>
      <color rgb="FF000000"/>
      <name val="Calibri"/>
      <family val="2"/>
    </font>
    <font>
      <i/>
      <sz val="9"/>
      <color rgb="FF1F3B57"/>
      <name val="FreeSans"/>
      <family val="2"/>
      <charset val="1"/>
    </font>
    <font>
      <b/>
      <sz val="9"/>
      <color rgb="FFC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C9A84C"/>
        <bgColor rgb="FFFF9900"/>
      </patternFill>
    </fill>
    <fill>
      <patternFill patternType="solid">
        <fgColor rgb="FFF4F7FA"/>
        <bgColor rgb="FFEAF7EE"/>
      </patternFill>
    </fill>
    <fill>
      <patternFill patternType="solid">
        <fgColor rgb="FFE8F0F8"/>
        <bgColor rgb="FFEAF7EE"/>
      </patternFill>
    </fill>
    <fill>
      <patternFill patternType="solid">
        <fgColor rgb="FFEAF7EE"/>
        <bgColor rgb="FFE8F0F8"/>
      </patternFill>
    </fill>
    <fill>
      <patternFill patternType="solid">
        <fgColor rgb="FFFDF0EE"/>
        <bgColor rgb="FFF4F7FA"/>
      </patternFill>
    </fill>
    <fill>
      <patternFill patternType="solid">
        <fgColor theme="2"/>
        <bgColor rgb="FFEAF7EE"/>
      </patternFill>
    </fill>
    <fill>
      <patternFill patternType="solid">
        <fgColor theme="2"/>
        <bgColor indexed="64"/>
      </patternFill>
    </fill>
    <fill>
      <patternFill patternType="solid">
        <fgColor theme="3" tint="-0.499984740745262"/>
        <bgColor rgb="FFFF99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rgb="FFEAF7EE"/>
      </patternFill>
    </fill>
  </fills>
  <borders count="6">
    <border>
      <left/>
      <right/>
      <top/>
      <bottom/>
      <diagonal/>
    </border>
    <border>
      <left style="thin">
        <color rgb="FFD9DEE3"/>
      </left>
      <right/>
      <top style="thin">
        <color rgb="FFD9DEE3"/>
      </top>
      <bottom style="thin">
        <color rgb="FFD9DEE3"/>
      </bottom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  <border>
      <left/>
      <right/>
      <top style="thin">
        <color rgb="FFD9DEE3"/>
      </top>
      <bottom/>
      <diagonal/>
    </border>
    <border>
      <left style="thin">
        <color rgb="FFD9DEE3"/>
      </left>
      <right/>
      <top/>
      <bottom/>
      <diagonal/>
    </border>
    <border>
      <left/>
      <right/>
      <top style="thin">
        <color rgb="FFD9DEE3"/>
      </top>
      <bottom style="thin">
        <color rgb="FFD9DEE3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115">
    <xf numFmtId="0" fontId="0" fillId="0" borderId="0" xfId="0"/>
    <xf numFmtId="0" fontId="49" fillId="0" borderId="1" xfId="0" applyFont="1" applyBorder="1" applyAlignment="1">
      <alignment horizontal="right" vertical="center" wrapText="1"/>
    </xf>
    <xf numFmtId="0" fontId="48" fillId="0" borderId="1" xfId="0" applyFont="1" applyBorder="1" applyAlignment="1">
      <alignment horizontal="right" vertical="center" wrapText="1"/>
    </xf>
    <xf numFmtId="0" fontId="32" fillId="0" borderId="1" xfId="0" applyFont="1" applyBorder="1" applyAlignment="1">
      <alignment horizontal="right" vertical="center" wrapText="1"/>
    </xf>
    <xf numFmtId="0" fontId="33" fillId="0" borderId="1" xfId="0" applyFont="1" applyBorder="1" applyAlignment="1">
      <alignment horizontal="right" vertical="center" wrapText="1"/>
    </xf>
    <xf numFmtId="0" fontId="34" fillId="2" borderId="1" xfId="0" applyFont="1" applyFill="1" applyBorder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164" fontId="10" fillId="0" borderId="2" xfId="0" applyNumberFormat="1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wrapText="1"/>
    </xf>
    <xf numFmtId="164" fontId="6" fillId="4" borderId="2" xfId="0" applyNumberFormat="1" applyFont="1" applyFill="1" applyBorder="1" applyAlignment="1">
      <alignment horizontal="right" vertical="center" wrapText="1"/>
    </xf>
    <xf numFmtId="165" fontId="13" fillId="4" borderId="2" xfId="0" applyNumberFormat="1" applyFont="1" applyFill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14" fillId="0" borderId="2" xfId="0" applyFont="1" applyBorder="1" applyAlignment="1">
      <alignment horizontal="right" vertical="center" wrapText="1"/>
    </xf>
    <xf numFmtId="165" fontId="14" fillId="0" borderId="2" xfId="0" applyNumberFormat="1" applyFont="1" applyBorder="1" applyAlignment="1">
      <alignment horizontal="righ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164" fontId="19" fillId="0" borderId="2" xfId="0" applyNumberFormat="1" applyFont="1" applyBorder="1" applyAlignment="1">
      <alignment horizontal="right" vertical="center" wrapText="1"/>
    </xf>
    <xf numFmtId="165" fontId="20" fillId="4" borderId="2" xfId="0" applyNumberFormat="1" applyFont="1" applyFill="1" applyBorder="1" applyAlignment="1">
      <alignment horizontal="right" vertical="center" wrapText="1"/>
    </xf>
    <xf numFmtId="165" fontId="21" fillId="4" borderId="2" xfId="0" applyNumberFormat="1" applyFont="1" applyFill="1" applyBorder="1" applyAlignment="1">
      <alignment horizontal="right" vertical="center" wrapText="1"/>
    </xf>
    <xf numFmtId="165" fontId="9" fillId="0" borderId="2" xfId="0" applyNumberFormat="1" applyFont="1" applyBorder="1" applyAlignment="1">
      <alignment horizontal="center" vertical="center" wrapText="1"/>
    </xf>
    <xf numFmtId="165" fontId="13" fillId="5" borderId="2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right" vertical="center" wrapText="1"/>
    </xf>
    <xf numFmtId="165" fontId="13" fillId="4" borderId="2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right" vertical="center" wrapText="1"/>
    </xf>
    <xf numFmtId="164" fontId="28" fillId="6" borderId="2" xfId="0" applyNumberFormat="1" applyFont="1" applyFill="1" applyBorder="1" applyAlignment="1">
      <alignment horizontal="right" vertical="center" wrapText="1"/>
    </xf>
    <xf numFmtId="1" fontId="13" fillId="4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 wrapText="1"/>
    </xf>
    <xf numFmtId="1" fontId="30" fillId="7" borderId="2" xfId="0" applyNumberFormat="1" applyFont="1" applyFill="1" applyBorder="1" applyAlignment="1">
      <alignment horizontal="center" vertical="center" wrapText="1"/>
    </xf>
    <xf numFmtId="165" fontId="31" fillId="0" borderId="2" xfId="0" applyNumberFormat="1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right" vertical="center" wrapText="1"/>
    </xf>
    <xf numFmtId="165" fontId="6" fillId="4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5" fontId="30" fillId="0" borderId="2" xfId="0" applyNumberFormat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right" vertical="center" wrapText="1"/>
    </xf>
    <xf numFmtId="0" fontId="40" fillId="0" borderId="2" xfId="0" applyFont="1" applyBorder="1" applyAlignment="1">
      <alignment horizontal="center" vertical="center" wrapText="1"/>
    </xf>
    <xf numFmtId="164" fontId="30" fillId="4" borderId="2" xfId="0" applyNumberFormat="1" applyFont="1" applyFill="1" applyBorder="1" applyAlignment="1">
      <alignment horizontal="right" vertical="center" wrapText="1"/>
    </xf>
    <xf numFmtId="164" fontId="42" fillId="0" borderId="2" xfId="0" applyNumberFormat="1" applyFont="1" applyBorder="1" applyAlignment="1">
      <alignment horizontal="right" vertical="center" wrapText="1"/>
    </xf>
    <xf numFmtId="164" fontId="39" fillId="0" borderId="2" xfId="0" applyNumberFormat="1" applyFont="1" applyBorder="1" applyAlignment="1">
      <alignment horizontal="right" vertical="center" wrapText="1"/>
    </xf>
    <xf numFmtId="164" fontId="13" fillId="4" borderId="2" xfId="0" applyNumberFormat="1" applyFont="1" applyFill="1" applyBorder="1" applyAlignment="1">
      <alignment horizontal="right" vertical="center" wrapText="1"/>
    </xf>
    <xf numFmtId="165" fontId="39" fillId="0" borderId="2" xfId="0" applyNumberFormat="1" applyFont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right" vertical="center" wrapText="1"/>
    </xf>
    <xf numFmtId="0" fontId="43" fillId="0" borderId="2" xfId="0" applyFont="1" applyBorder="1" applyAlignment="1">
      <alignment horizontal="right" vertical="center" wrapText="1"/>
    </xf>
    <xf numFmtId="164" fontId="44" fillId="0" borderId="2" xfId="0" applyNumberFormat="1" applyFont="1" applyBorder="1" applyAlignment="1">
      <alignment horizontal="right" vertical="center" wrapText="1"/>
    </xf>
    <xf numFmtId="0" fontId="13" fillId="0" borderId="2" xfId="0" applyFont="1" applyBorder="1" applyAlignment="1">
      <alignment horizontal="right" vertical="center" wrapText="1"/>
    </xf>
    <xf numFmtId="2" fontId="6" fillId="4" borderId="2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right" vertical="center" wrapText="1"/>
    </xf>
    <xf numFmtId="165" fontId="47" fillId="4" borderId="2" xfId="0" applyNumberFormat="1" applyFont="1" applyFill="1" applyBorder="1" applyAlignment="1">
      <alignment horizontal="center" vertical="center" wrapText="1"/>
    </xf>
    <xf numFmtId="166" fontId="30" fillId="4" borderId="2" xfId="0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right" vertical="center" wrapText="1"/>
    </xf>
    <xf numFmtId="165" fontId="28" fillId="4" borderId="2" xfId="0" applyNumberFormat="1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right" vertical="center" wrapText="1"/>
    </xf>
    <xf numFmtId="2" fontId="10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2" fontId="6" fillId="4" borderId="2" xfId="0" applyNumberFormat="1" applyFont="1" applyFill="1" applyBorder="1" applyAlignment="1">
      <alignment horizontal="right" vertical="center" wrapText="1"/>
    </xf>
    <xf numFmtId="166" fontId="6" fillId="4" borderId="2" xfId="0" applyNumberFormat="1" applyFont="1" applyFill="1" applyBorder="1" applyAlignment="1">
      <alignment horizontal="right" vertical="center" wrapText="1"/>
    </xf>
    <xf numFmtId="165" fontId="6" fillId="4" borderId="2" xfId="0" applyNumberFormat="1" applyFont="1" applyFill="1" applyBorder="1" applyAlignment="1">
      <alignment horizontal="right" vertical="center" wrapText="1"/>
    </xf>
    <xf numFmtId="165" fontId="10" fillId="0" borderId="2" xfId="0" applyNumberFormat="1" applyFont="1" applyBorder="1" applyAlignment="1">
      <alignment horizontal="right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164" fontId="47" fillId="4" borderId="2" xfId="0" applyNumberFormat="1" applyFont="1" applyFill="1" applyBorder="1" applyAlignment="1">
      <alignment horizontal="right" vertical="center" wrapText="1"/>
    </xf>
    <xf numFmtId="0" fontId="45" fillId="0" borderId="2" xfId="0" applyFont="1" applyBorder="1" applyAlignment="1">
      <alignment horizontal="right" vertical="center" wrapText="1"/>
    </xf>
    <xf numFmtId="164" fontId="28" fillId="4" borderId="2" xfId="0" applyNumberFormat="1" applyFont="1" applyFill="1" applyBorder="1" applyAlignment="1">
      <alignment horizontal="right" vertical="center" wrapText="1"/>
    </xf>
    <xf numFmtId="0" fontId="50" fillId="0" borderId="2" xfId="0" applyFont="1" applyBorder="1" applyAlignment="1">
      <alignment horizontal="right" vertical="center" wrapText="1"/>
    </xf>
    <xf numFmtId="0" fontId="52" fillId="0" borderId="2" xfId="0" applyFont="1" applyBorder="1" applyAlignment="1">
      <alignment horizontal="right" vertical="center" wrapText="1"/>
    </xf>
    <xf numFmtId="164" fontId="0" fillId="0" borderId="0" xfId="0" applyNumberFormat="1"/>
    <xf numFmtId="0" fontId="54" fillId="0" borderId="0" xfId="0" applyFont="1"/>
    <xf numFmtId="0" fontId="55" fillId="0" borderId="0" xfId="0" applyFont="1"/>
    <xf numFmtId="0" fontId="56" fillId="3" borderId="2" xfId="0" applyFont="1" applyFill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58" fillId="8" borderId="2" xfId="0" applyNumberFormat="1" applyFont="1" applyFill="1" applyBorder="1" applyAlignment="1">
      <alignment horizontal="right" vertical="center" wrapText="1"/>
    </xf>
    <xf numFmtId="164" fontId="10" fillId="9" borderId="2" xfId="0" applyNumberFormat="1" applyFont="1" applyFill="1" applyBorder="1" applyAlignment="1">
      <alignment horizontal="right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/>
    <xf numFmtId="0" fontId="0" fillId="0" borderId="0" xfId="0" applyAlignment="1"/>
    <xf numFmtId="164" fontId="13" fillId="8" borderId="2" xfId="0" applyNumberFormat="1" applyFont="1" applyFill="1" applyBorder="1" applyAlignment="1">
      <alignment horizontal="right" vertical="center" wrapText="1"/>
    </xf>
    <xf numFmtId="0" fontId="59" fillId="0" borderId="2" xfId="0" applyFont="1" applyBorder="1" applyAlignment="1">
      <alignment horizontal="right" vertical="center" wrapText="1"/>
    </xf>
    <xf numFmtId="0" fontId="60" fillId="0" borderId="2" xfId="0" applyFont="1" applyBorder="1" applyAlignment="1">
      <alignment horizontal="right" vertical="center" wrapText="1"/>
    </xf>
    <xf numFmtId="176" fontId="1" fillId="0" borderId="0" xfId="1" applyNumberFormat="1"/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9" fontId="0" fillId="0" borderId="0" xfId="0" applyNumberFormat="1"/>
    <xf numFmtId="0" fontId="62" fillId="0" borderId="3" xfId="0" applyFont="1" applyBorder="1" applyAlignment="1">
      <alignment horizontal="center" wrapText="1"/>
    </xf>
    <xf numFmtId="10" fontId="63" fillId="11" borderId="0" xfId="2" applyNumberFormat="1" applyFont="1" applyFill="1" applyAlignment="1">
      <alignment horizontal="center"/>
    </xf>
    <xf numFmtId="10" fontId="63" fillId="12" borderId="0" xfId="2" applyNumberFormat="1" applyFont="1" applyFill="1" applyAlignment="1">
      <alignment horizontal="center"/>
    </xf>
    <xf numFmtId="0" fontId="54" fillId="0" borderId="0" xfId="0" applyFont="1" applyAlignment="1">
      <alignment wrapText="1"/>
    </xf>
    <xf numFmtId="165" fontId="64" fillId="0" borderId="2" xfId="0" applyNumberFormat="1" applyFont="1" applyBorder="1" applyAlignment="1">
      <alignment horizontal="center" vertical="center" wrapText="1"/>
    </xf>
    <xf numFmtId="0" fontId="53" fillId="0" borderId="4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65" fillId="0" borderId="0" xfId="0" applyFont="1" applyAlignment="1">
      <alignment horizontal="right" vertical="center" wrapText="1"/>
    </xf>
    <xf numFmtId="0" fontId="66" fillId="3" borderId="2" xfId="0" applyFont="1" applyFill="1" applyBorder="1" applyAlignment="1">
      <alignment horizontal="center" vertical="center" wrapText="1"/>
    </xf>
    <xf numFmtId="165" fontId="66" fillId="8" borderId="2" xfId="0" applyNumberFormat="1" applyFont="1" applyFill="1" applyBorder="1" applyAlignment="1">
      <alignment horizontal="right" vertical="center" wrapText="1"/>
    </xf>
    <xf numFmtId="165" fontId="13" fillId="13" borderId="2" xfId="0" applyNumberFormat="1" applyFont="1" applyFill="1" applyBorder="1" applyAlignment="1">
      <alignment horizontal="center" vertical="center" wrapText="1"/>
    </xf>
    <xf numFmtId="165" fontId="47" fillId="13" borderId="2" xfId="0" applyNumberFormat="1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EE"/>
      <rgbColor rgb="FFEAF7EE"/>
      <rgbColor rgb="FF660066"/>
      <rgbColor rgb="FFFF8080"/>
      <rgbColor rgb="FF1F6FB2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8"/>
      <rgbColor rgb="FFF4F7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C9A84C"/>
      <rgbColor rgb="FF003366"/>
      <rgbColor rgb="FF1E8449"/>
      <rgbColor rgb="FF003300"/>
      <rgbColor rgb="FF333300"/>
      <rgbColor rgb="FFC0392B"/>
      <rgbColor rgb="FF993366"/>
      <rgbColor rgb="FF333399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rightToLeft="1" zoomScaleNormal="100" workbookViewId="0">
      <selection activeCell="B16" sqref="B16"/>
    </sheetView>
  </sheetViews>
  <sheetFormatPr defaultColWidth="8.6640625" defaultRowHeight="14.4"/>
  <cols>
    <col min="1" max="1" width="22" customWidth="1"/>
    <col min="2" max="4" width="28" customWidth="1"/>
  </cols>
  <sheetData>
    <row r="1" spans="1:4" ht="25.5" customHeight="1">
      <c r="A1" s="13" t="s">
        <v>0</v>
      </c>
      <c r="B1" s="13"/>
      <c r="C1" s="13"/>
      <c r="D1" s="13"/>
    </row>
    <row r="2" spans="1:4" ht="15" customHeight="1">
      <c r="A2" s="14" t="s">
        <v>1</v>
      </c>
      <c r="B2" s="12" t="s">
        <v>2</v>
      </c>
      <c r="C2" s="12"/>
      <c r="D2" s="12"/>
    </row>
    <row r="3" spans="1:4" ht="15" customHeight="1">
      <c r="A3" s="15" t="s">
        <v>3</v>
      </c>
      <c r="B3" s="11" t="s">
        <v>4</v>
      </c>
      <c r="C3" s="11"/>
      <c r="D3" s="11"/>
    </row>
    <row r="4" spans="1:4" ht="15" customHeight="1">
      <c r="A4" s="15" t="s">
        <v>5</v>
      </c>
      <c r="B4" s="10" t="s">
        <v>6</v>
      </c>
      <c r="C4" s="10"/>
      <c r="D4" s="10"/>
    </row>
    <row r="5" spans="1:4" ht="15" customHeight="1">
      <c r="A5" s="15" t="s">
        <v>7</v>
      </c>
      <c r="B5" s="11" t="s">
        <v>8</v>
      </c>
      <c r="C5" s="11"/>
      <c r="D5" s="11"/>
    </row>
    <row r="6" spans="1:4" ht="15" customHeight="1">
      <c r="A6" s="15" t="s">
        <v>9</v>
      </c>
      <c r="B6" s="11" t="s">
        <v>10</v>
      </c>
      <c r="C6" s="11"/>
      <c r="D6" s="11"/>
    </row>
    <row r="7" spans="1:4" ht="15" customHeight="1">
      <c r="A7" s="15" t="s">
        <v>11</v>
      </c>
      <c r="B7" s="11" t="s">
        <v>12</v>
      </c>
      <c r="C7" s="11"/>
      <c r="D7" s="11"/>
    </row>
    <row r="8" spans="1:4" ht="15" customHeight="1">
      <c r="A8" s="15" t="s">
        <v>13</v>
      </c>
      <c r="B8" s="10" t="s">
        <v>14</v>
      </c>
      <c r="C8" s="10"/>
      <c r="D8" s="10"/>
    </row>
    <row r="9" spans="1:4" ht="15" customHeight="1">
      <c r="A9" s="15" t="s">
        <v>15</v>
      </c>
      <c r="B9" s="11" t="s">
        <v>16</v>
      </c>
      <c r="C9" s="11"/>
      <c r="D9" s="11"/>
    </row>
    <row r="10" spans="1:4" ht="15" customHeight="1">
      <c r="A10" s="15" t="s">
        <v>17</v>
      </c>
      <c r="B10" s="11" t="s">
        <v>18</v>
      </c>
      <c r="C10" s="11"/>
      <c r="D10" s="11"/>
    </row>
    <row r="11" spans="1:4" ht="15" customHeight="1">
      <c r="A11" s="15" t="s">
        <v>19</v>
      </c>
      <c r="B11" s="11" t="s">
        <v>20</v>
      </c>
      <c r="C11" s="11"/>
      <c r="D11" s="11"/>
    </row>
    <row r="12" spans="1:4" ht="15" customHeight="1">
      <c r="A12" s="15" t="s">
        <v>21</v>
      </c>
      <c r="B12" s="11" t="s">
        <v>22</v>
      </c>
      <c r="C12" s="11"/>
      <c r="D12" s="11"/>
    </row>
    <row r="13" spans="1:4" ht="15" customHeight="1">
      <c r="A13" s="15" t="s">
        <v>23</v>
      </c>
      <c r="B13" s="11" t="s">
        <v>24</v>
      </c>
      <c r="C13" s="11"/>
      <c r="D13" s="11"/>
    </row>
    <row r="14" spans="1:4" ht="15" customHeight="1">
      <c r="A14" s="15" t="s">
        <v>25</v>
      </c>
      <c r="B14" s="11" t="s">
        <v>26</v>
      </c>
      <c r="C14" s="11"/>
      <c r="D14" s="11"/>
    </row>
    <row r="15" spans="1:4" ht="15" customHeight="1">
      <c r="A15" s="15" t="s">
        <v>27</v>
      </c>
      <c r="B15" s="11" t="s">
        <v>28</v>
      </c>
      <c r="C15" s="11"/>
      <c r="D15" s="11"/>
    </row>
  </sheetData>
  <mergeCells count="15">
    <mergeCell ref="B11:D11"/>
    <mergeCell ref="B12:D12"/>
    <mergeCell ref="B13:D13"/>
    <mergeCell ref="B14:D14"/>
    <mergeCell ref="B15:D15"/>
    <mergeCell ref="B6:D6"/>
    <mergeCell ref="B7:D7"/>
    <mergeCell ref="B8:D8"/>
    <mergeCell ref="B9:D9"/>
    <mergeCell ref="B10:D10"/>
    <mergeCell ref="A1:D1"/>
    <mergeCell ref="B2:D2"/>
    <mergeCell ref="B3:D3"/>
    <mergeCell ref="B4:D4"/>
    <mergeCell ref="B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rightToLeft="1" zoomScale="94" zoomScaleNormal="73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0" sqref="A10:G10"/>
    </sheetView>
  </sheetViews>
  <sheetFormatPr defaultColWidth="8.6640625" defaultRowHeight="14.4"/>
  <cols>
    <col min="1" max="1" width="12" customWidth="1"/>
    <col min="2" max="7" width="13" customWidth="1"/>
    <col min="8" max="8" width="24.6640625" customWidth="1"/>
    <col min="12" max="12" width="12.88671875" customWidth="1"/>
  </cols>
  <sheetData>
    <row r="1" spans="1:12" ht="25.5" customHeight="1">
      <c r="A1" s="13" t="s">
        <v>98</v>
      </c>
      <c r="B1" s="13"/>
      <c r="C1" s="13"/>
      <c r="D1" s="13"/>
      <c r="E1" s="13"/>
      <c r="F1" s="13"/>
      <c r="G1" s="13"/>
    </row>
    <row r="2" spans="1:12">
      <c r="A2" s="14" t="s">
        <v>99</v>
      </c>
      <c r="B2" s="16" t="s">
        <v>100</v>
      </c>
      <c r="C2" s="16" t="s">
        <v>101</v>
      </c>
      <c r="D2" s="16" t="s">
        <v>102</v>
      </c>
      <c r="E2" s="16" t="s">
        <v>103</v>
      </c>
      <c r="F2" s="17" t="s">
        <v>104</v>
      </c>
      <c r="G2" s="17" t="s">
        <v>105</v>
      </c>
    </row>
    <row r="3" spans="1:12">
      <c r="A3" s="15" t="s">
        <v>30</v>
      </c>
      <c r="B3" s="32">
        <f>'البيانات الفصلية'!B5</f>
        <v>0.2914637602958503</v>
      </c>
      <c r="C3" s="33">
        <f>'البيانات الفصلية'!C5</f>
        <v>0.32245600107325118</v>
      </c>
      <c r="D3" s="32">
        <f>'البيانات الفصلية'!D5</f>
        <v>0.27169125649388703</v>
      </c>
      <c r="E3" s="32">
        <f>'البيانات الفصلية'!E5</f>
        <v>0.26499012811649608</v>
      </c>
      <c r="F3" s="34" t="s">
        <v>101</v>
      </c>
      <c r="G3" s="35" t="s">
        <v>106</v>
      </c>
    </row>
    <row r="4" spans="1:12">
      <c r="A4" s="15" t="s">
        <v>31</v>
      </c>
      <c r="B4" s="32">
        <f>'البيانات الفصلية'!G5</f>
        <v>0.26704188754141189</v>
      </c>
      <c r="C4" s="33">
        <f>'البيانات الفصلية'!H5</f>
        <v>0.27982661013921106</v>
      </c>
      <c r="D4" s="32">
        <f>'البيانات الفصلية'!I5</f>
        <v>0.22726504168185419</v>
      </c>
      <c r="E4" s="32">
        <f>'البيانات الفصلية'!J5</f>
        <v>0.25288069312763894</v>
      </c>
      <c r="F4" s="34" t="s">
        <v>101</v>
      </c>
      <c r="G4" s="35" t="s">
        <v>106</v>
      </c>
    </row>
    <row r="5" spans="1:12">
      <c r="A5" s="15" t="s">
        <v>32</v>
      </c>
      <c r="B5" s="33">
        <f>'البيانات الفصلية'!L5</f>
        <v>0.29718200992230148</v>
      </c>
      <c r="C5" s="32">
        <f>'البيانات الفصلية'!M5</f>
        <v>0.24409778184143213</v>
      </c>
      <c r="D5" s="32">
        <f>'البيانات الفصلية'!M5</f>
        <v>0.24409778184143213</v>
      </c>
      <c r="E5" s="32">
        <f>'البيانات الفصلية'!O5</f>
        <v>0.27305745827993755</v>
      </c>
      <c r="F5" s="34" t="s">
        <v>100</v>
      </c>
      <c r="G5" s="35" t="s">
        <v>106</v>
      </c>
    </row>
    <row r="6" spans="1:12">
      <c r="A6" s="15" t="s">
        <v>33</v>
      </c>
      <c r="B6" s="33">
        <f>'البيانات الفصلية'!Q5</f>
        <v>0.38285884148388566</v>
      </c>
      <c r="C6" s="32">
        <f>'البيانات الفصلية'!R5</f>
        <v>0.3195988743482166</v>
      </c>
      <c r="D6" s="32">
        <f>'البيانات الفصلية'!S5</f>
        <v>0.2964980997855079</v>
      </c>
      <c r="E6" s="32">
        <f>'البيانات الفصلية'!T5</f>
        <v>0.21630505564132968</v>
      </c>
      <c r="F6" s="34" t="s">
        <v>100</v>
      </c>
      <c r="G6" s="35" t="s">
        <v>106</v>
      </c>
    </row>
    <row r="7" spans="1:12">
      <c r="A7" s="15" t="s">
        <v>34</v>
      </c>
      <c r="B7" s="32">
        <f>'البيانات الفصلية'!V5</f>
        <v>0.17298979849931995</v>
      </c>
      <c r="C7" s="33">
        <f>'البيانات الفصلية'!W5</f>
        <v>0.25303453010731902</v>
      </c>
      <c r="D7" s="32">
        <f>'البيانات الفصلية'!X5</f>
        <v>0.24356690357966004</v>
      </c>
      <c r="E7" s="32">
        <f>'البيانات الفصلية'!Y5</f>
        <v>0.24204963251646802</v>
      </c>
      <c r="F7" s="34" t="s">
        <v>100</v>
      </c>
      <c r="G7" s="87" t="s">
        <v>294</v>
      </c>
      <c r="H7" s="108" t="s">
        <v>315</v>
      </c>
      <c r="I7" s="109"/>
      <c r="J7" s="109"/>
      <c r="K7" s="109"/>
      <c r="L7" s="109"/>
    </row>
    <row r="8" spans="1:12">
      <c r="A8" s="36" t="s">
        <v>107</v>
      </c>
      <c r="B8" s="37">
        <f>AVERAGE(B3:B7)</f>
        <v>0.2823072595485539</v>
      </c>
      <c r="C8" s="37">
        <f>AVERAGE(C3:C7)</f>
        <v>0.28380275950188605</v>
      </c>
      <c r="D8" s="37">
        <f>AVERAGE(D3:D7)</f>
        <v>0.25662381667646822</v>
      </c>
      <c r="E8" s="37">
        <f>AVERAGE(E3:E7)</f>
        <v>0.24985659353637404</v>
      </c>
    </row>
    <row r="10" spans="1:12" ht="39.75" customHeight="1">
      <c r="A10" s="110" t="s">
        <v>316</v>
      </c>
      <c r="B10" s="7"/>
      <c r="C10" s="7"/>
      <c r="D10" s="7"/>
      <c r="E10" s="7"/>
      <c r="F10" s="7"/>
      <c r="G10" s="7"/>
    </row>
  </sheetData>
  <mergeCells count="3">
    <mergeCell ref="A1:G1"/>
    <mergeCell ref="A10:G10"/>
    <mergeCell ref="H7:L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rightToLeft="1" zoomScale="83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4" sqref="F4"/>
    </sheetView>
  </sheetViews>
  <sheetFormatPr defaultColWidth="8.6640625" defaultRowHeight="14.4"/>
  <cols>
    <col min="1" max="1" width="27" customWidth="1"/>
    <col min="2" max="6" width="16" customWidth="1"/>
  </cols>
  <sheetData>
    <row r="1" spans="1:6" ht="25.5" customHeight="1">
      <c r="A1" s="13" t="s">
        <v>300</v>
      </c>
      <c r="B1" s="13"/>
      <c r="C1" s="13"/>
      <c r="D1" s="13"/>
      <c r="E1" s="13"/>
      <c r="F1" s="13"/>
    </row>
    <row r="2" spans="1:6">
      <c r="A2" s="14" t="s">
        <v>29</v>
      </c>
      <c r="B2" s="16" t="s">
        <v>30</v>
      </c>
      <c r="C2" s="16" t="s">
        <v>31</v>
      </c>
      <c r="D2" s="16" t="s">
        <v>32</v>
      </c>
      <c r="E2" s="16" t="s">
        <v>33</v>
      </c>
      <c r="F2" s="16" t="s">
        <v>34</v>
      </c>
    </row>
    <row r="3" spans="1:6">
      <c r="A3" s="38" t="s">
        <v>108</v>
      </c>
      <c r="B3" s="39"/>
      <c r="C3" s="39"/>
      <c r="D3" s="39"/>
      <c r="E3" s="39"/>
      <c r="F3" s="39"/>
    </row>
    <row r="4" spans="1:6">
      <c r="A4" s="18" t="s">
        <v>109</v>
      </c>
      <c r="B4" s="19">
        <v>3164789327</v>
      </c>
      <c r="C4" s="19">
        <v>3007277888</v>
      </c>
      <c r="D4" s="19">
        <v>3077685183</v>
      </c>
      <c r="E4" s="19">
        <v>3886899018</v>
      </c>
      <c r="F4" s="19">
        <v>5175562196</v>
      </c>
    </row>
    <row r="5" spans="1:6">
      <c r="A5" s="18" t="s">
        <v>110</v>
      </c>
      <c r="B5" s="19">
        <v>73964179</v>
      </c>
      <c r="C5" s="19">
        <v>127380566</v>
      </c>
      <c r="D5" s="19">
        <v>299334840</v>
      </c>
      <c r="E5" s="19">
        <v>1511945561</v>
      </c>
      <c r="F5" s="19">
        <v>2722175926</v>
      </c>
    </row>
    <row r="6" spans="1:6">
      <c r="A6" s="18" t="s">
        <v>111</v>
      </c>
      <c r="B6" s="19">
        <v>49752884</v>
      </c>
      <c r="C6" s="19">
        <v>64319246</v>
      </c>
      <c r="D6" s="19">
        <v>0</v>
      </c>
      <c r="E6" s="19">
        <v>0</v>
      </c>
      <c r="F6" s="19">
        <v>0</v>
      </c>
    </row>
    <row r="7" spans="1:6">
      <c r="A7" s="18" t="s">
        <v>112</v>
      </c>
      <c r="B7" s="19">
        <v>196194420</v>
      </c>
      <c r="C7" s="19">
        <v>197472085</v>
      </c>
      <c r="D7" s="19">
        <v>305114220</v>
      </c>
      <c r="E7" s="19">
        <v>445704631</v>
      </c>
      <c r="F7" s="19">
        <v>574493531</v>
      </c>
    </row>
    <row r="8" spans="1:6">
      <c r="A8" s="18" t="s">
        <v>113</v>
      </c>
      <c r="B8" s="19">
        <v>15116843</v>
      </c>
      <c r="C8" s="19">
        <v>16926093</v>
      </c>
      <c r="D8" s="19">
        <v>15670070</v>
      </c>
      <c r="E8" s="19">
        <v>18025552</v>
      </c>
      <c r="F8" s="19">
        <v>0</v>
      </c>
    </row>
    <row r="9" spans="1:6">
      <c r="A9" s="18" t="s">
        <v>114</v>
      </c>
      <c r="B9" s="19">
        <v>0</v>
      </c>
      <c r="C9" s="19">
        <v>0</v>
      </c>
      <c r="D9" s="19">
        <v>0</v>
      </c>
      <c r="E9" s="19">
        <v>0</v>
      </c>
      <c r="F9" s="19">
        <v>109946586</v>
      </c>
    </row>
    <row r="10" spans="1:6">
      <c r="A10" s="18" t="s">
        <v>115</v>
      </c>
      <c r="B10" s="19">
        <v>61583843</v>
      </c>
      <c r="C10" s="19">
        <v>47182377</v>
      </c>
      <c r="D10" s="19">
        <v>38966498</v>
      </c>
      <c r="E10" s="19">
        <v>93038704</v>
      </c>
      <c r="F10" s="19">
        <v>184421330</v>
      </c>
    </row>
    <row r="11" spans="1:6">
      <c r="A11" s="18" t="s">
        <v>116</v>
      </c>
      <c r="B11" s="19">
        <v>97092890</v>
      </c>
      <c r="C11" s="19">
        <v>97092890</v>
      </c>
      <c r="D11" s="19">
        <v>97092890</v>
      </c>
      <c r="E11" s="19">
        <v>97092890</v>
      </c>
      <c r="F11" s="19">
        <v>97092890</v>
      </c>
    </row>
    <row r="12" spans="1:6">
      <c r="A12" s="18" t="s">
        <v>117</v>
      </c>
      <c r="B12" s="19">
        <v>723872</v>
      </c>
      <c r="C12" s="19">
        <v>715600</v>
      </c>
      <c r="D12" s="19">
        <v>707329</v>
      </c>
      <c r="E12" s="19">
        <v>0</v>
      </c>
      <c r="F12" s="19">
        <v>690785</v>
      </c>
    </row>
    <row r="13" spans="1:6">
      <c r="A13" s="36" t="s">
        <v>118</v>
      </c>
      <c r="B13" s="22">
        <f>SUM(B4:B12)</f>
        <v>3659218258</v>
      </c>
      <c r="C13" s="22">
        <f>SUM(C4:C12)</f>
        <v>3558366745</v>
      </c>
      <c r="D13" s="22">
        <f>SUM(D4:D12)</f>
        <v>3834571030</v>
      </c>
      <c r="E13" s="22">
        <f>SUM(E4:E12)</f>
        <v>6052706356</v>
      </c>
      <c r="F13" s="22">
        <f>SUM(F4:F12)</f>
        <v>8864383244</v>
      </c>
    </row>
    <row r="14" spans="1:6">
      <c r="A14" s="38" t="s">
        <v>119</v>
      </c>
      <c r="B14" s="39"/>
      <c r="C14" s="39"/>
      <c r="D14" s="39"/>
      <c r="E14" s="39"/>
      <c r="F14" s="39"/>
    </row>
    <row r="15" spans="1:6">
      <c r="A15" s="18" t="s">
        <v>120</v>
      </c>
      <c r="B15" s="19">
        <v>879266088</v>
      </c>
      <c r="C15" s="19">
        <v>1725513368</v>
      </c>
      <c r="D15" s="19">
        <v>2783515178</v>
      </c>
      <c r="E15" s="19">
        <v>4177070922</v>
      </c>
      <c r="F15" s="19">
        <v>5815744221</v>
      </c>
    </row>
    <row r="16" spans="1:6">
      <c r="A16" s="18" t="s">
        <v>121</v>
      </c>
      <c r="B16" s="19">
        <v>456020949</v>
      </c>
      <c r="C16" s="19">
        <v>768124141</v>
      </c>
      <c r="D16" s="19">
        <v>834918362</v>
      </c>
      <c r="E16" s="19">
        <v>1501832833</v>
      </c>
      <c r="F16" s="19">
        <v>2033905286</v>
      </c>
    </row>
    <row r="17" spans="1:6">
      <c r="A17" s="18" t="s">
        <v>122</v>
      </c>
      <c r="B17" s="19">
        <v>10617902</v>
      </c>
      <c r="C17" s="19">
        <v>20276099</v>
      </c>
      <c r="D17" s="19">
        <v>29465780</v>
      </c>
      <c r="E17" s="19">
        <v>0</v>
      </c>
      <c r="F17" s="19">
        <v>66662132</v>
      </c>
    </row>
    <row r="18" spans="1:6">
      <c r="A18" s="18" t="s">
        <v>123</v>
      </c>
      <c r="B18" s="19">
        <v>1607427</v>
      </c>
      <c r="C18" s="19">
        <v>1942496</v>
      </c>
      <c r="D18" s="19">
        <v>0</v>
      </c>
      <c r="E18" s="19">
        <v>0</v>
      </c>
      <c r="F18" s="19">
        <v>0</v>
      </c>
    </row>
    <row r="19" spans="1:6">
      <c r="A19" s="18" t="s">
        <v>124</v>
      </c>
      <c r="B19" s="19">
        <v>2966</v>
      </c>
      <c r="C19" s="19">
        <v>559970</v>
      </c>
      <c r="D19" s="19">
        <v>2760164</v>
      </c>
      <c r="E19" s="19">
        <v>3421436</v>
      </c>
      <c r="F19" s="19">
        <v>0</v>
      </c>
    </row>
    <row r="20" spans="1:6">
      <c r="A20" s="18" t="s">
        <v>125</v>
      </c>
      <c r="B20" s="19">
        <v>0</v>
      </c>
      <c r="C20" s="19">
        <v>0</v>
      </c>
      <c r="D20" s="19">
        <v>0</v>
      </c>
      <c r="E20" s="19">
        <v>44186478</v>
      </c>
      <c r="F20" s="19">
        <v>0</v>
      </c>
    </row>
    <row r="21" spans="1:6">
      <c r="A21" s="18" t="s">
        <v>126</v>
      </c>
      <c r="B21" s="19">
        <v>0</v>
      </c>
      <c r="C21" s="19">
        <v>0</v>
      </c>
      <c r="D21" s="19">
        <v>1610291</v>
      </c>
      <c r="E21" s="19">
        <v>0</v>
      </c>
      <c r="F21" s="19">
        <v>537771276</v>
      </c>
    </row>
    <row r="22" spans="1:6">
      <c r="A22" s="18" t="s">
        <v>127</v>
      </c>
      <c r="B22" s="19">
        <v>453015330</v>
      </c>
      <c r="C22" s="19">
        <v>294504052</v>
      </c>
      <c r="D22" s="19">
        <v>1093526328</v>
      </c>
      <c r="E22" s="19">
        <v>1811244599</v>
      </c>
      <c r="F22" s="19">
        <v>1091755742</v>
      </c>
    </row>
    <row r="23" spans="1:6">
      <c r="A23" s="36" t="s">
        <v>128</v>
      </c>
      <c r="B23" s="22">
        <f>SUM(B15:B22)</f>
        <v>1800530662</v>
      </c>
      <c r="C23" s="22">
        <f>SUM(C15:C22)</f>
        <v>2810920126</v>
      </c>
      <c r="D23" s="22">
        <f>SUM(D15:D22)</f>
        <v>4745796103</v>
      </c>
      <c r="E23" s="22">
        <f>SUM(E15:E22)</f>
        <v>7537756268</v>
      </c>
      <c r="F23" s="22">
        <f>SUM(F15:F22)</f>
        <v>9545838657</v>
      </c>
    </row>
    <row r="24" spans="1:6">
      <c r="A24" s="36" t="s">
        <v>129</v>
      </c>
      <c r="B24" s="22">
        <f>B13+B23</f>
        <v>5459748920</v>
      </c>
      <c r="C24" s="22">
        <f>C13+C23</f>
        <v>6369286871</v>
      </c>
      <c r="D24" s="22">
        <f>D13+D23</f>
        <v>8580367133</v>
      </c>
      <c r="E24" s="22">
        <f>E13+E23</f>
        <v>13590462624</v>
      </c>
      <c r="F24" s="22">
        <f>F13+F23</f>
        <v>18410221901</v>
      </c>
    </row>
    <row r="25" spans="1:6">
      <c r="A25" s="38" t="s">
        <v>130</v>
      </c>
      <c r="B25" s="39"/>
      <c r="C25" s="39"/>
      <c r="D25" s="39"/>
      <c r="E25" s="39"/>
      <c r="F25" s="39"/>
    </row>
    <row r="26" spans="1:6">
      <c r="A26" s="18" t="s">
        <v>131</v>
      </c>
      <c r="B26" s="19">
        <v>941405082</v>
      </c>
      <c r="C26" s="19">
        <v>941405082</v>
      </c>
      <c r="D26" s="19">
        <v>941405082</v>
      </c>
      <c r="E26" s="19">
        <v>941405082</v>
      </c>
      <c r="F26" s="19">
        <v>1176756353</v>
      </c>
    </row>
    <row r="27" spans="1:6">
      <c r="A27" s="18" t="s">
        <v>132</v>
      </c>
      <c r="B27" s="19">
        <v>688879026</v>
      </c>
      <c r="C27" s="19">
        <v>719145789</v>
      </c>
      <c r="D27" s="19">
        <v>742112963</v>
      </c>
      <c r="E27" s="19">
        <v>742112963</v>
      </c>
      <c r="F27" s="19">
        <v>0</v>
      </c>
    </row>
    <row r="28" spans="1:6">
      <c r="A28" s="18" t="s">
        <v>133</v>
      </c>
      <c r="B28" s="19">
        <v>330920428</v>
      </c>
      <c r="C28" s="19">
        <v>330920428</v>
      </c>
      <c r="D28" s="19">
        <v>330920428</v>
      </c>
      <c r="E28" s="19">
        <v>330920428</v>
      </c>
      <c r="F28" s="19">
        <v>0</v>
      </c>
    </row>
    <row r="29" spans="1:6">
      <c r="A29" s="18" t="s">
        <v>134</v>
      </c>
      <c r="B29" s="19">
        <v>0</v>
      </c>
      <c r="C29" s="19">
        <v>0</v>
      </c>
      <c r="D29" s="19">
        <v>0</v>
      </c>
      <c r="E29" s="19">
        <v>0</v>
      </c>
      <c r="F29" s="19">
        <v>259470145</v>
      </c>
    </row>
    <row r="30" spans="1:6">
      <c r="A30" s="18" t="s">
        <v>135</v>
      </c>
      <c r="B30" s="19">
        <v>1206348929</v>
      </c>
      <c r="C30" s="19">
        <v>1418366451</v>
      </c>
      <c r="D30" s="19">
        <v>2233885644</v>
      </c>
      <c r="E30" s="19">
        <v>4324257529</v>
      </c>
      <c r="F30" s="19">
        <v>6595203300</v>
      </c>
    </row>
    <row r="31" spans="1:6">
      <c r="A31" s="18" t="s">
        <v>136</v>
      </c>
      <c r="B31" s="19">
        <v>762819</v>
      </c>
      <c r="C31" s="19">
        <v>894422</v>
      </c>
      <c r="D31" s="19">
        <v>1444468</v>
      </c>
      <c r="E31" s="19">
        <v>628468</v>
      </c>
      <c r="F31" s="19">
        <v>1114421</v>
      </c>
    </row>
    <row r="32" spans="1:6">
      <c r="A32" s="36" t="s">
        <v>137</v>
      </c>
      <c r="B32" s="22">
        <f>SUM(B26:B31)</f>
        <v>3168316284</v>
      </c>
      <c r="C32" s="22">
        <f>SUM(C26:C31)</f>
        <v>3410732172</v>
      </c>
      <c r="D32" s="22">
        <f>SUM(D26:D31)</f>
        <v>4249768585</v>
      </c>
      <c r="E32" s="22">
        <f>SUM(E26:E31)</f>
        <v>6339324470</v>
      </c>
      <c r="F32" s="22">
        <f>SUM(F26:F31)</f>
        <v>8032544219</v>
      </c>
    </row>
    <row r="33" spans="1:6">
      <c r="A33" s="18" t="s">
        <v>138</v>
      </c>
      <c r="B33" s="19">
        <v>671817133</v>
      </c>
      <c r="C33" s="19">
        <v>464291994</v>
      </c>
      <c r="D33" s="19">
        <v>472033769</v>
      </c>
      <c r="E33" s="19">
        <v>1051729253</v>
      </c>
      <c r="F33" s="19">
        <v>2208187139</v>
      </c>
    </row>
    <row r="34" spans="1:6">
      <c r="A34" s="18" t="s">
        <v>139</v>
      </c>
      <c r="B34" s="19">
        <v>1619615503</v>
      </c>
      <c r="C34" s="19">
        <v>2494262705</v>
      </c>
      <c r="D34" s="19">
        <v>3858564779</v>
      </c>
      <c r="E34" s="19">
        <v>6199408901</v>
      </c>
      <c r="F34" s="19">
        <v>8169490543</v>
      </c>
    </row>
    <row r="35" spans="1:6">
      <c r="A35" s="36" t="s">
        <v>140</v>
      </c>
      <c r="B35" s="22">
        <f>B33+B34</f>
        <v>2291432636</v>
      </c>
      <c r="C35" s="22">
        <f>C33+C34</f>
        <v>2958554699</v>
      </c>
      <c r="D35" s="22">
        <f>D33+D34</f>
        <v>4330598548</v>
      </c>
      <c r="E35" s="22">
        <f>E33+E34</f>
        <v>7251138154</v>
      </c>
      <c r="F35" s="22">
        <f>F33+F34</f>
        <v>10377677682</v>
      </c>
    </row>
    <row r="36" spans="1:6">
      <c r="A36" s="36" t="s">
        <v>141</v>
      </c>
      <c r="B36" s="22">
        <f>B32+B35</f>
        <v>5459748920</v>
      </c>
      <c r="C36" s="22">
        <f>C32+C35</f>
        <v>6369286871</v>
      </c>
      <c r="D36" s="22">
        <f>D32+D35</f>
        <v>8580367133</v>
      </c>
      <c r="E36" s="22">
        <f>E32+E35</f>
        <v>13590462624</v>
      </c>
      <c r="F36" s="22">
        <f>F32+F35</f>
        <v>18410221901</v>
      </c>
    </row>
    <row r="37" spans="1:6">
      <c r="A37" s="36" t="s">
        <v>142</v>
      </c>
      <c r="B37" s="40">
        <f>B24-B36</f>
        <v>0</v>
      </c>
      <c r="C37" s="40">
        <f>C24-C36</f>
        <v>0</v>
      </c>
      <c r="D37" s="40">
        <f>D24-D36</f>
        <v>0</v>
      </c>
      <c r="E37" s="40">
        <f>E24-E36</f>
        <v>0</v>
      </c>
      <c r="F37" s="40">
        <f>F24-F36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rightToLeft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5" sqref="C15"/>
    </sheetView>
  </sheetViews>
  <sheetFormatPr defaultColWidth="8.6640625" defaultRowHeight="14.4"/>
  <cols>
    <col min="1" max="1" width="28" customWidth="1"/>
    <col min="2" max="5" width="16" customWidth="1"/>
    <col min="6" max="6" width="18" customWidth="1"/>
  </cols>
  <sheetData>
    <row r="1" spans="1:6" ht="25.5" customHeight="1">
      <c r="A1" s="13" t="s">
        <v>298</v>
      </c>
      <c r="B1" s="13"/>
      <c r="C1" s="13"/>
      <c r="D1" s="13"/>
      <c r="E1" s="13"/>
      <c r="F1" s="13"/>
    </row>
    <row r="2" spans="1:6">
      <c r="A2" s="14" t="s">
        <v>29</v>
      </c>
      <c r="B2" s="16" t="s">
        <v>31</v>
      </c>
      <c r="C2" s="16" t="s">
        <v>32</v>
      </c>
      <c r="D2" s="16" t="s">
        <v>33</v>
      </c>
      <c r="E2" s="16" t="s">
        <v>34</v>
      </c>
      <c r="F2" s="17" t="s">
        <v>207</v>
      </c>
    </row>
    <row r="3" spans="1:6">
      <c r="A3" s="18" t="s">
        <v>208</v>
      </c>
      <c r="B3" s="19">
        <v>-51509326</v>
      </c>
      <c r="C3" s="19">
        <v>-163778368</v>
      </c>
      <c r="D3" s="19">
        <v>-184477994</v>
      </c>
      <c r="E3" s="19">
        <v>-77548855</v>
      </c>
      <c r="F3" s="50" t="s">
        <v>209</v>
      </c>
    </row>
    <row r="4" spans="1:6">
      <c r="A4" s="51" t="s">
        <v>210</v>
      </c>
      <c r="B4" s="19">
        <v>0</v>
      </c>
      <c r="C4" s="19">
        <v>0</v>
      </c>
      <c r="D4" s="19">
        <v>-344814387</v>
      </c>
      <c r="E4" s="19">
        <v>-348000000</v>
      </c>
      <c r="F4" s="52" t="s">
        <v>211</v>
      </c>
    </row>
    <row r="5" spans="1:6">
      <c r="A5" s="36" t="s">
        <v>212</v>
      </c>
      <c r="B5" s="53">
        <f>B3+B4</f>
        <v>-51509326</v>
      </c>
      <c r="C5" s="53">
        <f>C3+C4</f>
        <v>-163778368</v>
      </c>
      <c r="D5" s="53">
        <f>D3+D4</f>
        <v>-529292381</v>
      </c>
      <c r="E5" s="53">
        <f>E3+E4</f>
        <v>-425548855</v>
      </c>
    </row>
    <row r="7" spans="1:6">
      <c r="A7" s="21" t="s">
        <v>213</v>
      </c>
      <c r="B7" s="54">
        <v>637999000</v>
      </c>
      <c r="C7" s="54">
        <v>1021460000</v>
      </c>
      <c r="D7" s="54">
        <v>2735395000</v>
      </c>
      <c r="E7" s="54">
        <v>1910095000</v>
      </c>
    </row>
    <row r="8" spans="1:6">
      <c r="A8" s="51" t="s">
        <v>214</v>
      </c>
      <c r="B8" s="55">
        <f>B4</f>
        <v>0</v>
      </c>
      <c r="C8" s="55">
        <f>C4</f>
        <v>0</v>
      </c>
      <c r="D8" s="55">
        <f>D4</f>
        <v>-344814387</v>
      </c>
      <c r="E8" s="55">
        <f>E4</f>
        <v>-348000000</v>
      </c>
    </row>
    <row r="9" spans="1:6">
      <c r="A9" s="36" t="s">
        <v>215</v>
      </c>
      <c r="B9" s="56">
        <f>B7+B8</f>
        <v>637999000</v>
      </c>
      <c r="C9" s="56">
        <f>C7+C8</f>
        <v>1021460000</v>
      </c>
      <c r="D9" s="94">
        <f>D7+D8</f>
        <v>2390580613</v>
      </c>
      <c r="E9" s="94">
        <f>E7+E8</f>
        <v>1562095000</v>
      </c>
    </row>
    <row r="10" spans="1:6">
      <c r="A10" s="51" t="s">
        <v>216</v>
      </c>
      <c r="B10" s="57">
        <f>B8/B7</f>
        <v>0</v>
      </c>
      <c r="C10" s="57">
        <f>C8/C7</f>
        <v>0</v>
      </c>
      <c r="D10" s="57">
        <f>D8/D7</f>
        <v>-0.12605652456043825</v>
      </c>
      <c r="E10" s="57">
        <f>E8/E7</f>
        <v>-0.18218989107871597</v>
      </c>
    </row>
    <row r="12" spans="1:6" ht="39.75" customHeight="1">
      <c r="A12" s="9" t="s">
        <v>217</v>
      </c>
      <c r="B12" s="9"/>
      <c r="C12" s="9"/>
      <c r="D12" s="9"/>
      <c r="E12" s="9"/>
      <c r="F12" s="9"/>
    </row>
  </sheetData>
  <mergeCells count="2">
    <mergeCell ref="A1:F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3"/>
  <sheetViews>
    <sheetView rightToLeft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ColWidth="8.6640625" defaultRowHeight="14.4"/>
  <cols>
    <col min="1" max="1" width="26" customWidth="1"/>
    <col min="2" max="6" width="16" customWidth="1"/>
    <col min="10" max="10" width="12.88671875" customWidth="1"/>
  </cols>
  <sheetData>
    <row r="1" spans="1:10" ht="25.5" customHeight="1">
      <c r="A1" s="13" t="s">
        <v>299</v>
      </c>
      <c r="B1" s="13"/>
      <c r="C1" s="13"/>
      <c r="D1" s="13"/>
      <c r="E1" s="13"/>
      <c r="F1" s="13"/>
    </row>
    <row r="2" spans="1:10">
      <c r="A2" s="14" t="s">
        <v>71</v>
      </c>
      <c r="B2" s="16" t="s">
        <v>30</v>
      </c>
      <c r="C2" s="16" t="s">
        <v>31</v>
      </c>
      <c r="D2" s="16" t="s">
        <v>32</v>
      </c>
      <c r="E2" s="16" t="s">
        <v>33</v>
      </c>
      <c r="F2" s="16" t="s">
        <v>34</v>
      </c>
    </row>
    <row r="3" spans="1:10">
      <c r="A3" s="18" t="s">
        <v>36</v>
      </c>
      <c r="B3" s="19">
        <v>8805974252</v>
      </c>
      <c r="C3" s="19">
        <v>11363960170</v>
      </c>
      <c r="D3" s="19">
        <v>15536190159</v>
      </c>
      <c r="E3" s="19">
        <v>24302616048</v>
      </c>
      <c r="F3" s="19">
        <v>29984446222</v>
      </c>
    </row>
    <row r="4" spans="1:10">
      <c r="A4" s="18" t="s">
        <v>153</v>
      </c>
      <c r="B4" s="19">
        <v>6278903539</v>
      </c>
      <c r="C4" s="19">
        <v>8458554544</v>
      </c>
      <c r="D4" s="19">
        <v>11926060448</v>
      </c>
      <c r="E4" s="19">
        <v>16912916624</v>
      </c>
      <c r="F4" s="19">
        <v>23103562055</v>
      </c>
    </row>
    <row r="5" spans="1:10">
      <c r="A5" s="18" t="s">
        <v>120</v>
      </c>
      <c r="B5" s="19">
        <v>879266088</v>
      </c>
      <c r="C5" s="19">
        <v>1725513368</v>
      </c>
      <c r="D5" s="19">
        <v>2783515178</v>
      </c>
      <c r="E5" s="19">
        <v>4177070922</v>
      </c>
      <c r="F5" s="19">
        <v>5815744221</v>
      </c>
    </row>
    <row r="6" spans="1:10">
      <c r="A6" s="18" t="s">
        <v>154</v>
      </c>
      <c r="B6" s="19">
        <v>456020949</v>
      </c>
      <c r="C6" s="19">
        <v>768124141</v>
      </c>
      <c r="D6" s="19">
        <v>834918362</v>
      </c>
      <c r="E6" s="19">
        <v>1501832833</v>
      </c>
      <c r="F6" s="19">
        <v>2033905286</v>
      </c>
    </row>
    <row r="7" spans="1:10">
      <c r="A7" s="18" t="s">
        <v>155</v>
      </c>
      <c r="B7" s="19">
        <v>928212428</v>
      </c>
      <c r="C7" s="19">
        <v>1340285565</v>
      </c>
      <c r="D7" s="19">
        <v>2261080629</v>
      </c>
      <c r="E7" s="19">
        <v>2006712301</v>
      </c>
      <c r="F7" s="19">
        <v>2800000000</v>
      </c>
    </row>
    <row r="8" spans="1:10">
      <c r="A8" s="21" t="s">
        <v>156</v>
      </c>
      <c r="B8" s="41">
        <f>B5/B4*365</f>
        <v>51.112765170957346</v>
      </c>
      <c r="C8" s="41">
        <f>C5/C4*365</f>
        <v>74.458629549980472</v>
      </c>
      <c r="D8" s="41">
        <f>D5/D4*365</f>
        <v>85.190163541421612</v>
      </c>
      <c r="E8" s="41">
        <f>E5/E4*365</f>
        <v>90.145947054838388</v>
      </c>
      <c r="F8" s="41">
        <f>F5/F4*365</f>
        <v>91.879625990642495</v>
      </c>
      <c r="G8" s="91" t="s">
        <v>295</v>
      </c>
      <c r="H8" s="88"/>
      <c r="I8" s="88"/>
      <c r="J8" s="88"/>
    </row>
    <row r="9" spans="1:10">
      <c r="A9" s="21" t="s">
        <v>157</v>
      </c>
      <c r="B9" s="41">
        <f t="shared" ref="B9:F10" si="0">B6/B3*365</f>
        <v>18.901673071233049</v>
      </c>
      <c r="C9" s="41">
        <f t="shared" si="0"/>
        <v>24.671444397098764</v>
      </c>
      <c r="D9" s="41">
        <f t="shared" si="0"/>
        <v>19.615182294448381</v>
      </c>
      <c r="E9" s="41">
        <f t="shared" si="0"/>
        <v>22.555966113372882</v>
      </c>
      <c r="F9" s="41">
        <f t="shared" si="0"/>
        <v>24.758684015491635</v>
      </c>
    </row>
    <row r="10" spans="1:10">
      <c r="A10" s="21" t="s">
        <v>158</v>
      </c>
      <c r="B10" s="41">
        <f t="shared" si="0"/>
        <v>53.958073111911197</v>
      </c>
      <c r="C10" s="41">
        <f t="shared" si="0"/>
        <v>57.835440875889681</v>
      </c>
      <c r="D10" s="41">
        <f t="shared" si="0"/>
        <v>69.200926255861958</v>
      </c>
      <c r="E10" s="41">
        <f t="shared" si="0"/>
        <v>43.307136560090925</v>
      </c>
      <c r="F10" s="41">
        <f t="shared" si="0"/>
        <v>44.235603045410997</v>
      </c>
    </row>
    <row r="11" spans="1:10">
      <c r="A11" s="42" t="s">
        <v>159</v>
      </c>
      <c r="B11" s="43">
        <f>B8+B9-B10</f>
        <v>16.056365130279197</v>
      </c>
      <c r="C11" s="43">
        <f>C8+C9-C10</f>
        <v>41.294633071189558</v>
      </c>
      <c r="D11" s="43">
        <f>D8+D9-D10</f>
        <v>35.604419580008027</v>
      </c>
      <c r="E11" s="43">
        <f>E8+E9-E10</f>
        <v>69.394776608120338</v>
      </c>
      <c r="F11" s="43">
        <f>F8+F9-F10</f>
        <v>72.402706960723137</v>
      </c>
      <c r="G11" s="92"/>
      <c r="H11" s="93"/>
      <c r="I11" s="93"/>
      <c r="J11" s="93"/>
    </row>
    <row r="13" spans="1:10" ht="39.75" customHeight="1">
      <c r="A13" s="6" t="s">
        <v>160</v>
      </c>
      <c r="B13" s="6"/>
      <c r="C13" s="6"/>
      <c r="D13" s="6"/>
      <c r="E13" s="6"/>
      <c r="F13" s="6"/>
    </row>
  </sheetData>
  <mergeCells count="3">
    <mergeCell ref="A1:F1"/>
    <mergeCell ref="A13:F13"/>
    <mergeCell ref="G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rightToLeft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8" sqref="B8"/>
    </sheetView>
  </sheetViews>
  <sheetFormatPr defaultColWidth="8.6640625" defaultRowHeight="14.4"/>
  <cols>
    <col min="1" max="1" width="20" customWidth="1"/>
    <col min="2" max="2" width="17" customWidth="1"/>
    <col min="3" max="4" width="12" customWidth="1"/>
    <col min="5" max="5" width="34" customWidth="1"/>
  </cols>
  <sheetData>
    <row r="1" spans="1:5" ht="25.5" customHeight="1">
      <c r="A1" s="13" t="s">
        <v>161</v>
      </c>
      <c r="B1" s="13"/>
      <c r="C1" s="13"/>
      <c r="D1" s="13"/>
      <c r="E1" s="13"/>
    </row>
    <row r="2" spans="1:5">
      <c r="A2" s="14" t="s">
        <v>162</v>
      </c>
      <c r="B2" s="17" t="s">
        <v>163</v>
      </c>
      <c r="C2" s="17" t="s">
        <v>164</v>
      </c>
      <c r="D2" s="17" t="s">
        <v>165</v>
      </c>
      <c r="E2" s="17" t="s">
        <v>166</v>
      </c>
    </row>
    <row r="3" spans="1:5">
      <c r="A3" s="21" t="s">
        <v>167</v>
      </c>
      <c r="B3" s="19">
        <v>8528</v>
      </c>
      <c r="C3" s="44">
        <f>B3/B$8</f>
        <v>0.52876984126984128</v>
      </c>
      <c r="D3" s="45">
        <v>0.4</v>
      </c>
      <c r="E3" s="46" t="s">
        <v>168</v>
      </c>
    </row>
    <row r="4" spans="1:5">
      <c r="A4" s="21" t="s">
        <v>169</v>
      </c>
      <c r="B4" s="19">
        <v>3541</v>
      </c>
      <c r="C4" s="44">
        <f>B4/B$8</f>
        <v>0.2195560515873016</v>
      </c>
      <c r="D4" s="45">
        <v>0.28999999999999998</v>
      </c>
      <c r="E4" s="46" t="s">
        <v>170</v>
      </c>
    </row>
    <row r="5" spans="1:5">
      <c r="A5" s="21" t="s">
        <v>171</v>
      </c>
      <c r="B5" s="19">
        <v>2740</v>
      </c>
      <c r="C5" s="44">
        <f>B5/B$8</f>
        <v>0.16989087301587302</v>
      </c>
      <c r="D5" s="45">
        <v>0.43</v>
      </c>
      <c r="E5" s="46" t="s">
        <v>172</v>
      </c>
    </row>
    <row r="6" spans="1:5">
      <c r="A6" s="21" t="s">
        <v>173</v>
      </c>
      <c r="B6" s="19">
        <v>1032</v>
      </c>
      <c r="C6" s="44">
        <f>B6/B$8</f>
        <v>6.3988095238095233E-2</v>
      </c>
      <c r="D6" s="45">
        <v>1.64</v>
      </c>
      <c r="E6" s="46" t="s">
        <v>174</v>
      </c>
    </row>
    <row r="7" spans="1:5">
      <c r="A7" s="21" t="s">
        <v>175</v>
      </c>
      <c r="B7" s="19">
        <v>287</v>
      </c>
      <c r="C7" s="44">
        <f>B7/B$8</f>
        <v>1.7795138888888888E-2</v>
      </c>
      <c r="D7" s="45">
        <v>0.24</v>
      </c>
      <c r="E7" s="46" t="s">
        <v>176</v>
      </c>
    </row>
    <row r="8" spans="1:5">
      <c r="A8" s="36" t="s">
        <v>177</v>
      </c>
      <c r="B8" s="22">
        <f>SUM(B3:B7)</f>
        <v>16128</v>
      </c>
      <c r="C8" s="47">
        <v>1</v>
      </c>
    </row>
    <row r="10" spans="1:5" ht="15" customHeight="1">
      <c r="A10" s="5" t="s">
        <v>178</v>
      </c>
      <c r="B10" s="5"/>
      <c r="C10" s="5"/>
      <c r="D10" s="5"/>
      <c r="E10" s="5"/>
    </row>
    <row r="11" spans="1:5">
      <c r="A11" s="14" t="s">
        <v>71</v>
      </c>
      <c r="B11" s="16" t="s">
        <v>32</v>
      </c>
      <c r="C11" s="16" t="s">
        <v>34</v>
      </c>
      <c r="D11" s="17" t="s">
        <v>166</v>
      </c>
      <c r="E11" s="17"/>
    </row>
    <row r="12" spans="1:5" ht="15" customHeight="1">
      <c r="A12" s="21" t="s">
        <v>179</v>
      </c>
      <c r="B12" s="48" t="s">
        <v>180</v>
      </c>
      <c r="C12" s="48" t="s">
        <v>181</v>
      </c>
      <c r="D12" s="4" t="s">
        <v>182</v>
      </c>
      <c r="E12" s="4"/>
    </row>
    <row r="13" spans="1:5" ht="15" customHeight="1">
      <c r="A13" s="21" t="s">
        <v>183</v>
      </c>
      <c r="B13" s="48" t="s">
        <v>184</v>
      </c>
      <c r="C13" s="48" t="s">
        <v>185</v>
      </c>
      <c r="D13" s="4" t="s">
        <v>186</v>
      </c>
      <c r="E13" s="4"/>
    </row>
    <row r="14" spans="1:5" ht="15" customHeight="1">
      <c r="A14" s="21" t="s">
        <v>187</v>
      </c>
      <c r="B14" s="48" t="s">
        <v>188</v>
      </c>
      <c r="C14" s="48" t="s">
        <v>189</v>
      </c>
      <c r="D14" s="3" t="s">
        <v>190</v>
      </c>
      <c r="E14" s="3"/>
    </row>
  </sheetData>
  <mergeCells count="5">
    <mergeCell ref="A1:E1"/>
    <mergeCell ref="A10:E10"/>
    <mergeCell ref="D12:E12"/>
    <mergeCell ref="D13:E13"/>
    <mergeCell ref="D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rightToLeft="1" zoomScale="102" zoomScaleNormal="10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" sqref="A4"/>
    </sheetView>
  </sheetViews>
  <sheetFormatPr defaultColWidth="8.6640625" defaultRowHeight="14.4"/>
  <cols>
    <col min="1" max="1" width="24" customWidth="1"/>
    <col min="2" max="3" width="17" customWidth="1"/>
    <col min="4" max="4" width="11" customWidth="1"/>
    <col min="5" max="5" width="8" customWidth="1"/>
  </cols>
  <sheetData>
    <row r="1" spans="1:5" ht="25.5" customHeight="1">
      <c r="A1" s="13" t="s">
        <v>191</v>
      </c>
      <c r="B1" s="13"/>
      <c r="C1" s="13"/>
      <c r="D1" s="13"/>
      <c r="E1" s="13"/>
    </row>
    <row r="2" spans="1:5">
      <c r="A2" s="14" t="s">
        <v>192</v>
      </c>
      <c r="B2" s="16" t="s">
        <v>32</v>
      </c>
      <c r="C2" s="16" t="s">
        <v>31</v>
      </c>
      <c r="D2" s="17" t="s">
        <v>193</v>
      </c>
      <c r="E2" s="17"/>
    </row>
    <row r="3" spans="1:5">
      <c r="A3" s="18" t="s">
        <v>194</v>
      </c>
      <c r="B3" s="19">
        <v>11379909322</v>
      </c>
      <c r="C3" s="19">
        <v>8090545850</v>
      </c>
      <c r="D3" s="44">
        <f>B3/B$6</f>
        <v>0.9557799346507424</v>
      </c>
    </row>
    <row r="4" spans="1:5">
      <c r="A4" s="18" t="s">
        <v>195</v>
      </c>
      <c r="B4" s="19">
        <v>313879771</v>
      </c>
      <c r="C4" s="19">
        <v>150718331</v>
      </c>
      <c r="D4" s="44">
        <f>B4/B$6</f>
        <v>2.6362247582641149E-2</v>
      </c>
    </row>
    <row r="5" spans="1:5">
      <c r="A5" s="18" t="s">
        <v>196</v>
      </c>
      <c r="B5" s="19">
        <v>212622529</v>
      </c>
      <c r="C5" s="19">
        <v>217290363</v>
      </c>
      <c r="D5" s="44">
        <f>B5/B$6</f>
        <v>1.7857817766616435E-2</v>
      </c>
    </row>
    <row r="6" spans="1:5">
      <c r="A6" s="36" t="s">
        <v>197</v>
      </c>
      <c r="B6" s="22">
        <f>SUM(B3:B5)</f>
        <v>11906411622</v>
      </c>
      <c r="C6" s="22">
        <f>SUM(C3:C5)</f>
        <v>8458554544</v>
      </c>
    </row>
    <row r="8" spans="1:5" ht="15" customHeight="1">
      <c r="A8" s="5" t="s">
        <v>198</v>
      </c>
      <c r="B8" s="5"/>
      <c r="C8" s="5"/>
      <c r="D8" s="5"/>
      <c r="E8" s="5"/>
    </row>
    <row r="9" spans="1:5">
      <c r="A9" s="14" t="s">
        <v>71</v>
      </c>
      <c r="B9" s="16" t="s">
        <v>32</v>
      </c>
      <c r="C9" s="16" t="s">
        <v>31</v>
      </c>
      <c r="D9" s="17" t="s">
        <v>199</v>
      </c>
      <c r="E9" s="17"/>
    </row>
    <row r="10" spans="1:5">
      <c r="A10" s="18" t="s">
        <v>200</v>
      </c>
      <c r="B10" s="19">
        <v>869035593</v>
      </c>
      <c r="C10" s="19">
        <v>514750127</v>
      </c>
      <c r="D10" s="45">
        <f>B10/C10-1</f>
        <v>0.68826688409928249</v>
      </c>
    </row>
    <row r="11" spans="1:5">
      <c r="A11" s="18" t="s">
        <v>201</v>
      </c>
      <c r="B11" s="19">
        <v>505755185</v>
      </c>
      <c r="C11" s="19">
        <v>486448453</v>
      </c>
      <c r="D11" s="45">
        <f>B11/C11-1</f>
        <v>3.9689163118789894E-2</v>
      </c>
    </row>
    <row r="12" spans="1:5">
      <c r="A12" s="18" t="s">
        <v>202</v>
      </c>
      <c r="B12" s="19">
        <v>875366224</v>
      </c>
      <c r="C12" s="19">
        <v>561486453</v>
      </c>
      <c r="D12" s="45">
        <f>B12/C12-1</f>
        <v>0.55901575064358666</v>
      </c>
    </row>
    <row r="13" spans="1:5">
      <c r="A13" s="18" t="s">
        <v>203</v>
      </c>
      <c r="B13" s="19">
        <v>150608669</v>
      </c>
      <c r="C13" s="19">
        <v>96617666</v>
      </c>
      <c r="D13" s="45">
        <f>B13/C13-1</f>
        <v>0.55881088040359006</v>
      </c>
    </row>
    <row r="14" spans="1:5">
      <c r="A14" s="42" t="s">
        <v>204</v>
      </c>
      <c r="B14" s="19">
        <v>382749507</v>
      </c>
      <c r="C14" s="19">
        <v>66210669</v>
      </c>
      <c r="D14" s="49">
        <f>B14/C14-1</f>
        <v>4.7807829581060419</v>
      </c>
    </row>
    <row r="15" spans="1:5">
      <c r="A15" s="36" t="s">
        <v>205</v>
      </c>
      <c r="B15" s="22">
        <f>B10+B11+B12+B13+B14</f>
        <v>2783515178</v>
      </c>
      <c r="C15" s="22">
        <f>C10+C11+C12+C13+C14</f>
        <v>1725513368</v>
      </c>
    </row>
    <row r="17" spans="1:5" ht="39.75" customHeight="1">
      <c r="A17" s="9" t="s">
        <v>206</v>
      </c>
      <c r="B17" s="9"/>
      <c r="C17" s="9"/>
      <c r="D17" s="9"/>
      <c r="E17" s="9"/>
    </row>
  </sheetData>
  <mergeCells count="3">
    <mergeCell ref="A1:E1"/>
    <mergeCell ref="A8:E8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rightToLeft="1" zoomScale="9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8.6640625" defaultRowHeight="14.4"/>
  <cols>
    <col min="1" max="1" width="27" customWidth="1"/>
    <col min="2" max="6" width="16" customWidth="1"/>
  </cols>
  <sheetData>
    <row r="1" spans="1:6" ht="25.5" customHeight="1">
      <c r="A1" s="13" t="s">
        <v>143</v>
      </c>
      <c r="B1" s="13"/>
      <c r="C1" s="13"/>
      <c r="D1" s="13"/>
      <c r="E1" s="13"/>
      <c r="F1" s="13"/>
    </row>
    <row r="2" spans="1:6">
      <c r="A2" s="14" t="s">
        <v>29</v>
      </c>
      <c r="B2" s="16" t="s">
        <v>30</v>
      </c>
      <c r="C2" s="16" t="s">
        <v>31</v>
      </c>
      <c r="D2" s="16" t="s">
        <v>32</v>
      </c>
      <c r="E2" s="16" t="s">
        <v>33</v>
      </c>
      <c r="F2" s="16" t="s">
        <v>34</v>
      </c>
    </row>
    <row r="3" spans="1:6">
      <c r="A3" s="18" t="s">
        <v>144</v>
      </c>
      <c r="B3" s="19">
        <v>768096649</v>
      </c>
      <c r="C3" s="19">
        <v>439908278</v>
      </c>
      <c r="D3" s="19">
        <v>1651546284</v>
      </c>
      <c r="E3" s="90">
        <v>2274844702</v>
      </c>
      <c r="F3" s="19">
        <v>777594355</v>
      </c>
    </row>
    <row r="4" spans="1:6">
      <c r="A4" s="18" t="s">
        <v>145</v>
      </c>
      <c r="B4" s="19">
        <v>-200495770</v>
      </c>
      <c r="C4" s="19">
        <v>-166813689</v>
      </c>
      <c r="D4" s="19">
        <v>-738602093</v>
      </c>
      <c r="E4" s="19">
        <v>-2901835696</v>
      </c>
      <c r="F4" s="19">
        <v>-3708873743</v>
      </c>
    </row>
    <row r="5" spans="1:6">
      <c r="A5" s="18" t="s">
        <v>146</v>
      </c>
      <c r="B5" s="19">
        <v>-298286463</v>
      </c>
      <c r="C5" s="19">
        <v>-380096540</v>
      </c>
      <c r="D5" s="19">
        <v>49856453</v>
      </c>
      <c r="E5" s="19">
        <v>1529187259</v>
      </c>
      <c r="F5" s="19">
        <v>2289340385</v>
      </c>
    </row>
    <row r="6" spans="1:6">
      <c r="A6" s="21" t="s">
        <v>147</v>
      </c>
      <c r="B6" s="22">
        <f>B3+B4+B5</f>
        <v>269314416</v>
      </c>
      <c r="C6" s="22">
        <f>C3+C4+C5</f>
        <v>-107001951</v>
      </c>
      <c r="D6" s="22">
        <f>D3+D4+D5</f>
        <v>962800644</v>
      </c>
      <c r="E6" s="22">
        <f>E3+E4+E5</f>
        <v>902196265</v>
      </c>
      <c r="F6" s="22">
        <f>F3+F4+F5</f>
        <v>-641939003</v>
      </c>
    </row>
    <row r="7" spans="1:6">
      <c r="A7" s="18" t="s">
        <v>148</v>
      </c>
      <c r="B7" s="19">
        <v>1158376</v>
      </c>
      <c r="C7" s="19">
        <v>-51509327</v>
      </c>
      <c r="D7" s="19">
        <v>-163778368</v>
      </c>
      <c r="E7" s="19">
        <v>-184477994</v>
      </c>
      <c r="F7" s="19">
        <v>-77548855</v>
      </c>
    </row>
    <row r="8" spans="1:6">
      <c r="A8" s="18" t="s">
        <v>149</v>
      </c>
      <c r="B8" s="19">
        <v>182542538</v>
      </c>
      <c r="C8" s="19">
        <v>453015330</v>
      </c>
      <c r="D8" s="19">
        <v>294504052</v>
      </c>
      <c r="E8" s="19">
        <v>1093526328</v>
      </c>
      <c r="F8" s="19">
        <v>1811244599</v>
      </c>
    </row>
    <row r="9" spans="1:6">
      <c r="A9" s="21" t="s">
        <v>150</v>
      </c>
      <c r="B9" s="22">
        <f>B8+B6+B7</f>
        <v>453015330</v>
      </c>
      <c r="C9" s="22">
        <f>C8+C6+C7</f>
        <v>294504052</v>
      </c>
      <c r="D9" s="22">
        <f>D8+D6+D7</f>
        <v>1093526328</v>
      </c>
      <c r="E9" s="22">
        <f>E8+E6+E7</f>
        <v>1811244599</v>
      </c>
      <c r="F9" s="22">
        <f>F8+F6+F7</f>
        <v>1091756741</v>
      </c>
    </row>
    <row r="10" spans="1:6">
      <c r="A10" s="18" t="s">
        <v>151</v>
      </c>
      <c r="B10" s="19">
        <v>453015330</v>
      </c>
      <c r="C10" s="19">
        <v>294504052</v>
      </c>
      <c r="D10" s="19">
        <v>1093526328</v>
      </c>
      <c r="E10" s="19">
        <v>1811244599</v>
      </c>
      <c r="F10" s="19">
        <v>1091755742</v>
      </c>
    </row>
    <row r="12" spans="1:6" ht="25.5" customHeight="1">
      <c r="A12" s="8" t="s">
        <v>152</v>
      </c>
      <c r="B12" s="8"/>
      <c r="C12" s="8"/>
      <c r="D12" s="8"/>
      <c r="E12" s="8"/>
      <c r="F12" s="8"/>
    </row>
  </sheetData>
  <mergeCells count="2">
    <mergeCell ref="A1:F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rightToLeft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5" sqref="E15"/>
    </sheetView>
  </sheetViews>
  <sheetFormatPr defaultColWidth="8.6640625" defaultRowHeight="14.4"/>
  <cols>
    <col min="1" max="1" width="26" customWidth="1"/>
    <col min="2" max="6" width="16" customWidth="1"/>
    <col min="7" max="7" width="18" customWidth="1"/>
  </cols>
  <sheetData>
    <row r="1" spans="1:7" ht="25.5" customHeight="1">
      <c r="A1" s="13" t="s">
        <v>297</v>
      </c>
      <c r="B1" s="13"/>
      <c r="C1" s="13"/>
      <c r="D1" s="13"/>
      <c r="E1" s="13"/>
      <c r="F1" s="13"/>
      <c r="G1" s="13"/>
    </row>
    <row r="2" spans="1:7">
      <c r="A2" s="14" t="s">
        <v>29</v>
      </c>
      <c r="B2" s="16" t="s">
        <v>30</v>
      </c>
      <c r="C2" s="16" t="s">
        <v>31</v>
      </c>
      <c r="D2" s="16" t="s">
        <v>32</v>
      </c>
      <c r="E2" s="16" t="s">
        <v>33</v>
      </c>
      <c r="F2" s="16" t="s">
        <v>34</v>
      </c>
      <c r="G2" s="17" t="s">
        <v>35</v>
      </c>
    </row>
    <row r="3" spans="1:7">
      <c r="A3" s="18" t="s">
        <v>36</v>
      </c>
      <c r="B3" s="19">
        <v>8805974252</v>
      </c>
      <c r="C3" s="19">
        <v>11363960170</v>
      </c>
      <c r="D3" s="19">
        <v>16128101761</v>
      </c>
      <c r="E3" s="19">
        <v>24302616048</v>
      </c>
      <c r="F3" s="19">
        <v>29984446222</v>
      </c>
      <c r="G3" s="20" t="s">
        <v>37</v>
      </c>
    </row>
    <row r="4" spans="1:7">
      <c r="A4" s="18" t="s">
        <v>38</v>
      </c>
      <c r="B4" s="19">
        <v>-6278903539</v>
      </c>
      <c r="C4" s="19">
        <v>-8458554544</v>
      </c>
      <c r="D4" s="19">
        <v>-11906411622</v>
      </c>
      <c r="E4" s="19">
        <v>-16912916624</v>
      </c>
      <c r="F4" s="19">
        <v>-23103562055</v>
      </c>
      <c r="G4" s="20" t="s">
        <v>39</v>
      </c>
    </row>
    <row r="5" spans="1:7">
      <c r="A5" s="21" t="s">
        <v>40</v>
      </c>
      <c r="B5" s="22">
        <f>B3+B4</f>
        <v>2527070713</v>
      </c>
      <c r="C5" s="22">
        <f>C3+C4</f>
        <v>2905405626</v>
      </c>
      <c r="D5" s="22">
        <f>D3+D4</f>
        <v>4221690139</v>
      </c>
      <c r="E5" s="22">
        <f>E3+E4</f>
        <v>7389699424</v>
      </c>
      <c r="F5" s="22">
        <f>F3+F4</f>
        <v>6880884167</v>
      </c>
      <c r="G5" s="20" t="s">
        <v>41</v>
      </c>
    </row>
    <row r="6" spans="1:7">
      <c r="A6" s="21" t="s">
        <v>42</v>
      </c>
      <c r="B6" s="23">
        <f>B5/B3</f>
        <v>0.28697230319814476</v>
      </c>
      <c r="C6" s="23">
        <f>C5/C3</f>
        <v>0.25566840982688871</v>
      </c>
      <c r="D6" s="23">
        <f>D5/D3</f>
        <v>0.26175988976015985</v>
      </c>
      <c r="E6" s="23">
        <f>E5/E3</f>
        <v>0.30407012189159532</v>
      </c>
      <c r="F6" s="23">
        <f>F5/F3</f>
        <v>0.22948178252334708</v>
      </c>
      <c r="G6" s="20" t="s">
        <v>43</v>
      </c>
    </row>
    <row r="7" spans="1:7">
      <c r="A7" s="18" t="s">
        <v>44</v>
      </c>
      <c r="B7" s="19">
        <v>41548292</v>
      </c>
      <c r="C7" s="19">
        <v>122415644</v>
      </c>
      <c r="D7" s="19">
        <v>178863933</v>
      </c>
      <c r="E7" s="19">
        <v>332938371</v>
      </c>
      <c r="F7" s="19">
        <v>325638100</v>
      </c>
      <c r="G7" s="20" t="s">
        <v>39</v>
      </c>
    </row>
    <row r="8" spans="1:7">
      <c r="A8" s="18" t="s">
        <v>45</v>
      </c>
      <c r="B8" s="19">
        <v>-1340271251</v>
      </c>
      <c r="C8" s="19">
        <v>-1544969079</v>
      </c>
      <c r="D8" s="19">
        <v>-1933987009</v>
      </c>
      <c r="E8" s="19">
        <v>-2159669231</v>
      </c>
      <c r="F8" s="19">
        <v>-2736787707</v>
      </c>
      <c r="G8" s="20" t="s">
        <v>39</v>
      </c>
    </row>
    <row r="9" spans="1:7">
      <c r="A9" s="18" t="s">
        <v>46</v>
      </c>
      <c r="B9" s="19">
        <v>-272283318</v>
      </c>
      <c r="C9" s="19">
        <v>-286403392</v>
      </c>
      <c r="D9" s="19">
        <v>-388147620</v>
      </c>
      <c r="E9" s="19">
        <v>-659201157</v>
      </c>
      <c r="F9" s="19">
        <v>-831126207</v>
      </c>
      <c r="G9" s="20" t="s">
        <v>39</v>
      </c>
    </row>
    <row r="10" spans="1:7">
      <c r="A10" s="84" t="s">
        <v>292</v>
      </c>
      <c r="B10" s="19">
        <v>0</v>
      </c>
      <c r="C10" s="19">
        <v>0</v>
      </c>
      <c r="D10" s="19">
        <v>5971372</v>
      </c>
      <c r="E10" s="19">
        <v>0</v>
      </c>
      <c r="F10" s="19">
        <v>0</v>
      </c>
      <c r="G10" s="20"/>
    </row>
    <row r="11" spans="1:7">
      <c r="A11" s="18" t="s">
        <v>47</v>
      </c>
      <c r="B11" s="19">
        <v>-122143862</v>
      </c>
      <c r="C11" s="19">
        <v>-171502831</v>
      </c>
      <c r="D11" s="19">
        <v>-282461208</v>
      </c>
      <c r="E11" s="19">
        <v>-210789892</v>
      </c>
      <c r="F11" s="19">
        <v>-65316259</v>
      </c>
      <c r="G11" s="20" t="s">
        <v>48</v>
      </c>
    </row>
    <row r="12" spans="1:7">
      <c r="A12" s="21" t="s">
        <v>49</v>
      </c>
      <c r="B12" s="22">
        <f t="shared" ref="B12:C12" si="0">B5+B7+B8+B9+B10+B11</f>
        <v>833920574</v>
      </c>
      <c r="C12" s="22">
        <f t="shared" si="0"/>
        <v>1024945968</v>
      </c>
      <c r="D12" s="22">
        <f>D5+D7+D8+D9+D10+D11</f>
        <v>1801929607</v>
      </c>
      <c r="E12" s="22">
        <f t="shared" ref="E12:F12" si="1">E5+E7+E8+E9+E10+E11</f>
        <v>4692977515</v>
      </c>
      <c r="F12" s="22">
        <f t="shared" si="1"/>
        <v>3573292094</v>
      </c>
      <c r="G12" s="20" t="s">
        <v>50</v>
      </c>
    </row>
    <row r="13" spans="1:7">
      <c r="A13" s="21" t="s">
        <v>51</v>
      </c>
      <c r="B13" s="23">
        <f>B12/B3</f>
        <v>9.4699410892622266E-2</v>
      </c>
      <c r="C13" s="23">
        <f>C12/C3</f>
        <v>9.0192675147329385E-2</v>
      </c>
      <c r="D13" s="23">
        <f>D12/D3</f>
        <v>0.11172608120301654</v>
      </c>
      <c r="E13" s="23">
        <f>E12/E3</f>
        <v>0.1931058576463916</v>
      </c>
      <c r="F13" s="23">
        <f>F12/F3</f>
        <v>0.11917152204659449</v>
      </c>
      <c r="G13" s="20" t="s">
        <v>52</v>
      </c>
    </row>
    <row r="14" spans="1:7">
      <c r="A14" s="18" t="s">
        <v>53</v>
      </c>
      <c r="B14" s="19">
        <v>645136</v>
      </c>
      <c r="C14" s="19">
        <v>1809251</v>
      </c>
      <c r="D14" s="19">
        <v>-1256023</v>
      </c>
      <c r="E14" s="19">
        <v>2355482</v>
      </c>
      <c r="F14" s="19">
        <v>0</v>
      </c>
      <c r="G14" s="20" t="s">
        <v>39</v>
      </c>
    </row>
    <row r="15" spans="1:7">
      <c r="A15" s="18" t="s">
        <v>54</v>
      </c>
      <c r="B15" s="19">
        <v>-68187651</v>
      </c>
      <c r="C15" s="19">
        <v>-123313682</v>
      </c>
      <c r="D15" s="19">
        <v>-320893260</v>
      </c>
      <c r="E15" s="19">
        <v>-596428158</v>
      </c>
      <c r="F15" s="19">
        <v>-1168793931</v>
      </c>
      <c r="G15" s="20" t="s">
        <v>55</v>
      </c>
    </row>
    <row r="16" spans="1:7">
      <c r="A16" s="18" t="s">
        <v>56</v>
      </c>
      <c r="B16" s="19">
        <v>0</v>
      </c>
      <c r="C16" s="19">
        <v>0</v>
      </c>
      <c r="D16" s="19">
        <v>-115108535</v>
      </c>
      <c r="E16" s="19">
        <v>-522059933</v>
      </c>
      <c r="F16" s="19">
        <v>0</v>
      </c>
      <c r="G16" s="20" t="s">
        <v>39</v>
      </c>
    </row>
    <row r="17" spans="1:7">
      <c r="A17" s="21" t="s">
        <v>57</v>
      </c>
      <c r="B17" s="22">
        <f>B12+B14+B15+B16</f>
        <v>766378059</v>
      </c>
      <c r="C17" s="22">
        <f>C12+C14+C15+C16</f>
        <v>903441537</v>
      </c>
      <c r="D17" s="22">
        <f>D12+D14+D15+D16</f>
        <v>1364671789</v>
      </c>
      <c r="E17" s="22">
        <f>E12+E14+E15+E16</f>
        <v>3576844906</v>
      </c>
      <c r="F17" s="22">
        <f>F12+F14+F15+F16</f>
        <v>2404498163</v>
      </c>
      <c r="G17" s="20" t="s">
        <v>58</v>
      </c>
    </row>
    <row r="18" spans="1:7">
      <c r="A18" s="18" t="s">
        <v>59</v>
      </c>
      <c r="B18" s="19">
        <v>-226962845</v>
      </c>
      <c r="C18" s="19">
        <v>-272826682</v>
      </c>
      <c r="D18" s="19">
        <v>-343211571</v>
      </c>
      <c r="E18" s="19">
        <v>-841450390</v>
      </c>
      <c r="F18" s="19">
        <v>-494403328</v>
      </c>
      <c r="G18" s="20" t="s">
        <v>39</v>
      </c>
    </row>
    <row r="19" spans="1:7">
      <c r="A19" s="18" t="s">
        <v>60</v>
      </c>
      <c r="B19" s="19">
        <v>-13026096</v>
      </c>
      <c r="C19" s="19">
        <v>7384145</v>
      </c>
      <c r="D19" s="19">
        <v>0</v>
      </c>
      <c r="E19" s="19">
        <v>0</v>
      </c>
      <c r="F19" s="19">
        <v>0</v>
      </c>
      <c r="G19" s="20" t="s">
        <v>61</v>
      </c>
    </row>
    <row r="20" spans="1:7">
      <c r="A20" s="21" t="s">
        <v>62</v>
      </c>
      <c r="B20" s="22">
        <f>B17+B18+B19</f>
        <v>526389118</v>
      </c>
      <c r="C20" s="22">
        <f>C17+C18+C19</f>
        <v>637999000</v>
      </c>
      <c r="D20" s="22">
        <f>D17+D18+D19</f>
        <v>1021460218</v>
      </c>
      <c r="E20" s="22">
        <f>E17+E18+E19</f>
        <v>2735394516</v>
      </c>
      <c r="F20" s="22">
        <f>F17+F18+F19</f>
        <v>1910094835</v>
      </c>
      <c r="G20" s="20" t="s">
        <v>58</v>
      </c>
    </row>
    <row r="21" spans="1:7">
      <c r="A21" s="21" t="s">
        <v>63</v>
      </c>
      <c r="B21" s="23">
        <f>B20/B3</f>
        <v>5.9776363515989986E-2</v>
      </c>
      <c r="C21" s="23">
        <f>C20/C3</f>
        <v>5.6142312227058781E-2</v>
      </c>
      <c r="D21" s="23">
        <f>D20/D3</f>
        <v>6.3334187317073687E-2</v>
      </c>
      <c r="E21" s="23">
        <f>E20/E3</f>
        <v>0.11255555824102777</v>
      </c>
      <c r="F21" s="23">
        <f>F20/F3</f>
        <v>6.3702855168908779E-2</v>
      </c>
      <c r="G21" s="20" t="s">
        <v>64</v>
      </c>
    </row>
    <row r="22" spans="1:7">
      <c r="A22" s="24" t="s">
        <v>65</v>
      </c>
      <c r="B22" s="19">
        <v>1224</v>
      </c>
      <c r="C22" s="19">
        <v>1465</v>
      </c>
      <c r="D22" s="19">
        <v>2224</v>
      </c>
      <c r="E22" s="19">
        <v>4693</v>
      </c>
      <c r="F22" s="19">
        <v>4634</v>
      </c>
      <c r="G22" s="20" t="s">
        <v>66</v>
      </c>
    </row>
    <row r="23" spans="1:7">
      <c r="A23" s="21" t="s">
        <v>67</v>
      </c>
      <c r="B23" s="25" t="s">
        <v>68</v>
      </c>
      <c r="C23" s="26">
        <f>C3/B3-1</f>
        <v>0.29048301128282694</v>
      </c>
      <c r="D23" s="26">
        <f>D3/C3-1</f>
        <v>0.41923251399428296</v>
      </c>
      <c r="E23" s="26">
        <f>E3/D3-1</f>
        <v>0.50684912633470081</v>
      </c>
      <c r="F23" s="26">
        <f>F3/E3-1</f>
        <v>0.23379500226551087</v>
      </c>
      <c r="G23" s="20" t="s">
        <v>69</v>
      </c>
    </row>
    <row r="25" spans="1:7" ht="39.75" customHeight="1">
      <c r="A25" s="9" t="s">
        <v>70</v>
      </c>
      <c r="B25" s="9"/>
      <c r="C25" s="9"/>
      <c r="D25" s="9"/>
      <c r="E25" s="9"/>
      <c r="F25" s="9"/>
      <c r="G25" s="9"/>
    </row>
  </sheetData>
  <mergeCells count="2">
    <mergeCell ref="A1:G1"/>
    <mergeCell ref="A25:G25"/>
  </mergeCells>
  <pageMargins left="0.75" right="0.75" top="1" bottom="1" header="0.511811023622047" footer="0.511811023622047"/>
  <pageSetup paperSize="9" orientation="portrait" horizontalDpi="300" verticalDpi="300"/>
  <ignoredErrors>
    <ignoredError sqref="D12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rightToLeft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6" sqref="D16"/>
    </sheetView>
  </sheetViews>
  <sheetFormatPr defaultColWidth="8.6640625" defaultRowHeight="14.4"/>
  <cols>
    <col min="1" max="1" width="30" customWidth="1"/>
    <col min="2" max="6" width="16" customWidth="1"/>
  </cols>
  <sheetData>
    <row r="1" spans="1:6" ht="25.5" customHeight="1">
      <c r="A1" s="13" t="s">
        <v>296</v>
      </c>
      <c r="B1" s="13"/>
      <c r="C1" s="13"/>
      <c r="D1" s="13"/>
      <c r="E1" s="13"/>
      <c r="F1" s="13"/>
    </row>
    <row r="2" spans="1:6">
      <c r="A2" s="14" t="s">
        <v>71</v>
      </c>
      <c r="B2" s="16" t="s">
        <v>30</v>
      </c>
      <c r="C2" s="16" t="s">
        <v>31</v>
      </c>
      <c r="D2" s="16" t="s">
        <v>32</v>
      </c>
      <c r="E2" s="16" t="s">
        <v>33</v>
      </c>
      <c r="F2" s="16" t="s">
        <v>34</v>
      </c>
    </row>
    <row r="3" spans="1:6">
      <c r="A3" s="18" t="s">
        <v>140</v>
      </c>
      <c r="B3" s="19">
        <v>2291432636</v>
      </c>
      <c r="C3" s="19">
        <v>2958554699</v>
      </c>
      <c r="D3" s="19">
        <v>4330598548</v>
      </c>
      <c r="E3" s="19">
        <v>7251138154</v>
      </c>
      <c r="F3" s="19">
        <v>10377677682</v>
      </c>
    </row>
    <row r="4" spans="1:6">
      <c r="A4" s="18" t="s">
        <v>218</v>
      </c>
      <c r="B4" s="19">
        <v>453015330</v>
      </c>
      <c r="C4" s="19">
        <v>294504052</v>
      </c>
      <c r="D4" s="19">
        <v>1093526328</v>
      </c>
      <c r="E4" s="19">
        <v>1811244599</v>
      </c>
      <c r="F4" s="19">
        <v>1091755742</v>
      </c>
    </row>
    <row r="5" spans="1:6">
      <c r="A5" s="18" t="s">
        <v>137</v>
      </c>
      <c r="B5" s="19">
        <v>3168316284</v>
      </c>
      <c r="C5" s="19">
        <v>3410732172</v>
      </c>
      <c r="D5" s="19">
        <v>4249768585</v>
      </c>
      <c r="E5" s="19">
        <v>6339324470</v>
      </c>
      <c r="F5" s="19">
        <v>8032544219</v>
      </c>
    </row>
    <row r="6" spans="1:6">
      <c r="A6" s="18" t="s">
        <v>129</v>
      </c>
      <c r="B6" s="19">
        <v>5459748920</v>
      </c>
      <c r="C6" s="19">
        <v>6369286871</v>
      </c>
      <c r="D6" s="19">
        <v>8580367133</v>
      </c>
      <c r="E6" s="19">
        <v>13590462624</v>
      </c>
      <c r="F6" s="19">
        <v>18410221901</v>
      </c>
    </row>
    <row r="7" spans="1:6">
      <c r="A7" s="21" t="s">
        <v>219</v>
      </c>
      <c r="B7" s="53">
        <f>B3-B4</f>
        <v>1838417306</v>
      </c>
      <c r="C7" s="53">
        <f>C3-C4</f>
        <v>2664050647</v>
      </c>
      <c r="D7" s="53">
        <f>D3-D4</f>
        <v>3237072220</v>
      </c>
      <c r="E7" s="53">
        <f>E3-E4</f>
        <v>5439893555</v>
      </c>
      <c r="F7" s="53">
        <f>F3-F4</f>
        <v>9285921940</v>
      </c>
    </row>
    <row r="8" spans="1:6">
      <c r="A8" s="21" t="s">
        <v>220</v>
      </c>
      <c r="B8" s="58">
        <f>B7/B5</f>
        <v>0.58025056250981288</v>
      </c>
      <c r="C8" s="58">
        <f>C7/C5</f>
        <v>0.78107881611760865</v>
      </c>
      <c r="D8" s="58">
        <f>D7/D5</f>
        <v>0.76170552707871741</v>
      </c>
      <c r="E8" s="58">
        <f>E7/E5</f>
        <v>0.85811880757067482</v>
      </c>
      <c r="F8" s="58">
        <f>F7/F5</f>
        <v>1.1560374505048212</v>
      </c>
    </row>
    <row r="10" spans="1:6">
      <c r="A10" s="18" t="s">
        <v>221</v>
      </c>
      <c r="B10" s="59">
        <f>'قائمة الدخل'!B20</f>
        <v>526389118</v>
      </c>
      <c r="C10" s="59">
        <f>'قائمة الدخل'!C20</f>
        <v>637999000</v>
      </c>
      <c r="D10" s="59">
        <f>'قائمة الدخل'!D20</f>
        <v>1021460218</v>
      </c>
      <c r="E10" s="59">
        <f>'قائمة الدخل'!E20</f>
        <v>2735394516</v>
      </c>
      <c r="F10" s="59">
        <f>'قائمة الدخل'!F20</f>
        <v>1910094835</v>
      </c>
    </row>
    <row r="11" spans="1:6">
      <c r="A11" s="51" t="s">
        <v>214</v>
      </c>
      <c r="B11" s="19">
        <v>0</v>
      </c>
      <c r="C11" s="19">
        <v>0</v>
      </c>
      <c r="D11" s="19">
        <v>0</v>
      </c>
      <c r="E11" s="19">
        <v>-344814387</v>
      </c>
      <c r="F11" s="19">
        <v>-348000000</v>
      </c>
    </row>
    <row r="12" spans="1:6">
      <c r="A12" s="21" t="s">
        <v>222</v>
      </c>
      <c r="B12" s="22">
        <f>B10+B11</f>
        <v>526389118</v>
      </c>
      <c r="C12" s="22">
        <f>C10+C11</f>
        <v>637999000</v>
      </c>
      <c r="D12" s="22">
        <f>D10+D11</f>
        <v>1021460218</v>
      </c>
      <c r="E12" s="22">
        <f>E10+E11</f>
        <v>2390580129</v>
      </c>
      <c r="F12" s="22">
        <f>F10+F11</f>
        <v>1562094835</v>
      </c>
    </row>
    <row r="13" spans="1:6">
      <c r="A13" s="60" t="s">
        <v>223</v>
      </c>
      <c r="B13" s="61">
        <f>B5</f>
        <v>3168316284</v>
      </c>
      <c r="C13" s="61">
        <f t="shared" ref="C13:F14" si="0">(C5+B5)/2</f>
        <v>3289524228</v>
      </c>
      <c r="D13" s="61">
        <f t="shared" si="0"/>
        <v>3830250378.5</v>
      </c>
      <c r="E13" s="61">
        <f t="shared" si="0"/>
        <v>5294546527.5</v>
      </c>
      <c r="F13" s="61">
        <f t="shared" si="0"/>
        <v>7185934344.5</v>
      </c>
    </row>
    <row r="14" spans="1:6">
      <c r="A14" s="60" t="s">
        <v>224</v>
      </c>
      <c r="B14" s="61">
        <f>B6</f>
        <v>5459748920</v>
      </c>
      <c r="C14" s="61">
        <f t="shared" si="0"/>
        <v>5914517895.5</v>
      </c>
      <c r="D14" s="61">
        <f t="shared" si="0"/>
        <v>7474827002</v>
      </c>
      <c r="E14" s="61">
        <f t="shared" si="0"/>
        <v>11085414878.5</v>
      </c>
      <c r="F14" s="61">
        <f t="shared" si="0"/>
        <v>16000342262.5</v>
      </c>
    </row>
    <row r="16" spans="1:6">
      <c r="A16" s="62" t="s">
        <v>225</v>
      </c>
      <c r="B16" s="37">
        <f>B12/B13</f>
        <v>0.16614159408840132</v>
      </c>
      <c r="C16" s="37">
        <f>C12/C13</f>
        <v>0.19394871591746793</v>
      </c>
      <c r="D16" s="37">
        <f>D12/D13</f>
        <v>0.26668236200266981</v>
      </c>
      <c r="E16" s="113">
        <f>E12/E13</f>
        <v>0.45151744659967952</v>
      </c>
      <c r="F16" s="113">
        <f>F12/F13</f>
        <v>0.21738228602041187</v>
      </c>
    </row>
    <row r="17" spans="1:6">
      <c r="A17" s="21" t="s">
        <v>318</v>
      </c>
      <c r="B17" s="47">
        <f>B12/'قائمة الدخل'!B3</f>
        <v>5.9776363515989986E-2</v>
      </c>
      <c r="C17" s="47">
        <f>C12/'قائمة الدخل'!C3</f>
        <v>5.6142312227058781E-2</v>
      </c>
      <c r="D17" s="47">
        <f>D12/'قائمة الدخل'!D3</f>
        <v>6.3334187317073687E-2</v>
      </c>
      <c r="E17" s="47">
        <f>'قائمة الدخل'!E21</f>
        <v>0.11255555824102777</v>
      </c>
      <c r="F17" s="47">
        <f>'قائمة الدخل'!F21</f>
        <v>6.3702855168908779E-2</v>
      </c>
    </row>
    <row r="18" spans="1:6">
      <c r="A18" s="21" t="s">
        <v>226</v>
      </c>
      <c r="B18" s="63">
        <f>'قائمة الدخل'!B3/B14</f>
        <v>1.612889966375963</v>
      </c>
      <c r="C18" s="63">
        <f>'قائمة الدخل'!C3/C14</f>
        <v>1.9213671123805631</v>
      </c>
      <c r="D18" s="63">
        <f>'قائمة الدخل'!D3/D14</f>
        <v>2.1576555225538585</v>
      </c>
      <c r="E18" s="63">
        <f>'قائمة الدخل'!E3/E14</f>
        <v>2.1923055036157977</v>
      </c>
      <c r="F18" s="63">
        <f>'قائمة الدخل'!F3/F14</f>
        <v>1.8739878016406275</v>
      </c>
    </row>
    <row r="19" spans="1:6">
      <c r="A19" s="42" t="s">
        <v>227</v>
      </c>
      <c r="B19" s="64">
        <f>B14/B13</f>
        <v>1.7232335507574597</v>
      </c>
      <c r="C19" s="64">
        <f>C14/C13</f>
        <v>1.7979858136190021</v>
      </c>
      <c r="D19" s="64">
        <f>D14/D13</f>
        <v>1.9515243817891839</v>
      </c>
      <c r="E19" s="64">
        <f>E14/E13</f>
        <v>2.0937420836557186</v>
      </c>
      <c r="F19" s="64">
        <f>F14/F13</f>
        <v>2.2266196009355981</v>
      </c>
    </row>
    <row r="20" spans="1:6">
      <c r="A20" s="65" t="s">
        <v>228</v>
      </c>
      <c r="B20" s="66">
        <f>B17*B18*B19</f>
        <v>0.16614159408840132</v>
      </c>
      <c r="C20" s="66">
        <f>C17*C18*C19</f>
        <v>0.19394871591746793</v>
      </c>
      <c r="D20" s="66">
        <f>D17*D18*D19</f>
        <v>0.26668236200266981</v>
      </c>
      <c r="E20" s="114">
        <f>E17*E18*E19</f>
        <v>0.51664377710013432</v>
      </c>
      <c r="F20" s="114">
        <f>F17*F18*F19</f>
        <v>0.26581022639901464</v>
      </c>
    </row>
    <row r="21" spans="1:6">
      <c r="A21" s="42" t="s">
        <v>229</v>
      </c>
      <c r="B21" s="67">
        <f>'قائمة الدخل'!B12/(-'قائمة الدخل'!B15)</f>
        <v>12.229788851356677</v>
      </c>
      <c r="C21" s="67">
        <f>'قائمة الدخل'!C12/(-'قائمة الدخل'!C15)</f>
        <v>8.311697058887594</v>
      </c>
      <c r="D21" s="67">
        <f>'قائمة الدخل'!D12/(-'قائمة الدخل'!D15)</f>
        <v>5.6153551090477878</v>
      </c>
      <c r="E21" s="67">
        <f>'قائمة الدخل'!E12/(-'قائمة الدخل'!E15)</f>
        <v>7.8684707488273888</v>
      </c>
      <c r="F21" s="67">
        <f>'قائمة الدخل'!F12/(-'قائمة الدخل'!F15)</f>
        <v>3.0572473035881975</v>
      </c>
    </row>
    <row r="22" spans="1:6">
      <c r="A22" s="68" t="s">
        <v>230</v>
      </c>
      <c r="B22" s="69">
        <f>'قائمة الدخل'!B12/'قائمة الدخل'!B5</f>
        <v>0.32999495016505304</v>
      </c>
      <c r="C22" s="69">
        <f>'قائمة الدخل'!C12/'قائمة الدخل'!C5</f>
        <v>0.35277207382952869</v>
      </c>
      <c r="D22" s="69">
        <f>'قائمة الدخل'!D12/'قائمة الدخل'!D5</f>
        <v>0.42682659022123937</v>
      </c>
      <c r="E22" s="69">
        <f>'قائمة الدخل'!E12/'قائمة الدخل'!E5</f>
        <v>0.63507014909947712</v>
      </c>
      <c r="F22" s="69">
        <f>'قائمة الدخل'!F12/'قائمة الدخل'!F5</f>
        <v>0.51930711334120905</v>
      </c>
    </row>
    <row r="23" spans="1:6">
      <c r="A23" s="70" t="s">
        <v>231</v>
      </c>
      <c r="B23" s="61">
        <f>'قائمة الدخل'!B12*0.75</f>
        <v>625440430.5</v>
      </c>
      <c r="C23" s="61">
        <f>'قائمة الدخل'!C12*0.75</f>
        <v>768709476</v>
      </c>
      <c r="D23" s="61">
        <f>'قائمة الدخل'!D12*0.75</f>
        <v>1351447205.25</v>
      </c>
      <c r="E23" s="61">
        <f>'قائمة الدخل'!E12*0.75</f>
        <v>3519733136.25</v>
      </c>
      <c r="F23" s="61">
        <f>'قائمة الدخل'!F12*0.75</f>
        <v>2679969070.5</v>
      </c>
    </row>
    <row r="24" spans="1:6">
      <c r="A24" s="60" t="s">
        <v>232</v>
      </c>
      <c r="B24" s="61">
        <f>B5+B7</f>
        <v>5006733590</v>
      </c>
      <c r="C24" s="61">
        <f>C5+C7</f>
        <v>6074782819</v>
      </c>
      <c r="D24" s="61">
        <f>D5+D7</f>
        <v>7486840805</v>
      </c>
      <c r="E24" s="61">
        <f>E5+E7</f>
        <v>11779218025</v>
      </c>
      <c r="F24" s="61">
        <f>F5+F7</f>
        <v>17318466159</v>
      </c>
    </row>
    <row r="25" spans="1:6">
      <c r="A25" s="62" t="s">
        <v>233</v>
      </c>
      <c r="B25" s="37">
        <f>B23/B24</f>
        <v>0.1249198542836788</v>
      </c>
      <c r="C25" s="37">
        <f>C23/((C24+B24)/2)</f>
        <v>0.13873723552413503</v>
      </c>
      <c r="D25" s="37">
        <f>D23/((D24+C24)/2)</f>
        <v>0.19930463235365778</v>
      </c>
      <c r="E25" s="37">
        <f>E23/((E24+D24)/2)</f>
        <v>0.36538174904451903</v>
      </c>
      <c r="F25" s="37">
        <f>F23/((F24+E24)/2)</f>
        <v>0.18420497339603678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0"/>
  <sheetViews>
    <sheetView rightToLeft="1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7" sqref="B17"/>
    </sheetView>
  </sheetViews>
  <sheetFormatPr defaultColWidth="8.6640625" defaultRowHeight="14.4"/>
  <cols>
    <col min="1" max="1" width="30" customWidth="1"/>
    <col min="2" max="2" width="18" customWidth="1"/>
    <col min="3" max="4" width="14" customWidth="1"/>
  </cols>
  <sheetData>
    <row r="1" spans="1:4" ht="25.5" customHeight="1">
      <c r="A1" s="13" t="s">
        <v>301</v>
      </c>
      <c r="B1" s="13"/>
      <c r="C1" s="13"/>
      <c r="D1" s="13"/>
    </row>
    <row r="2" spans="1:4" ht="15" customHeight="1">
      <c r="A2" s="14" t="s">
        <v>71</v>
      </c>
      <c r="B2" s="17" t="s">
        <v>234</v>
      </c>
      <c r="C2" s="12" t="s">
        <v>235</v>
      </c>
      <c r="D2" s="12"/>
    </row>
    <row r="3" spans="1:4">
      <c r="A3" s="18" t="s">
        <v>236</v>
      </c>
      <c r="B3" s="71">
        <v>29.3</v>
      </c>
      <c r="C3" s="2"/>
      <c r="D3" s="2"/>
    </row>
    <row r="4" spans="1:4">
      <c r="A4" s="18" t="s">
        <v>237</v>
      </c>
      <c r="B4" s="19">
        <v>1176756353</v>
      </c>
      <c r="C4" s="2"/>
      <c r="D4" s="2"/>
    </row>
    <row r="5" spans="1:4" ht="15" customHeight="1">
      <c r="A5" s="21" t="s">
        <v>238</v>
      </c>
      <c r="B5" s="22">
        <f>B3*B4</f>
        <v>34478961142.900002</v>
      </c>
      <c r="C5" s="1" t="s">
        <v>239</v>
      </c>
      <c r="D5" s="1"/>
    </row>
    <row r="6" spans="1:4">
      <c r="A6" s="18" t="s">
        <v>240</v>
      </c>
      <c r="B6" s="19">
        <v>9285921940</v>
      </c>
      <c r="C6" s="2"/>
      <c r="D6" s="2"/>
    </row>
    <row r="7" spans="1:4" ht="15" customHeight="1">
      <c r="A7" s="21" t="s">
        <v>241</v>
      </c>
      <c r="B7" s="22">
        <f>B5+B6</f>
        <v>43764883082.900002</v>
      </c>
      <c r="C7" s="1" t="s">
        <v>242</v>
      </c>
      <c r="D7" s="1"/>
    </row>
    <row r="9" spans="1:4">
      <c r="A9" s="18" t="s">
        <v>243</v>
      </c>
      <c r="B9" s="19">
        <v>1910095000</v>
      </c>
      <c r="C9" s="2"/>
      <c r="D9" s="2"/>
    </row>
    <row r="10" spans="1:4">
      <c r="A10" s="18" t="s">
        <v>244</v>
      </c>
      <c r="B10" s="19">
        <v>1562095000</v>
      </c>
      <c r="C10" s="2"/>
      <c r="D10" s="2"/>
    </row>
    <row r="11" spans="1:4">
      <c r="A11" s="18" t="s">
        <v>245</v>
      </c>
      <c r="B11" s="19">
        <v>2253000000</v>
      </c>
      <c r="C11" s="2"/>
      <c r="D11" s="2"/>
    </row>
    <row r="12" spans="1:4">
      <c r="A12" s="24" t="s">
        <v>246</v>
      </c>
      <c r="B12" s="19">
        <v>4634000000</v>
      </c>
      <c r="C12" s="2"/>
      <c r="D12" s="2"/>
    </row>
    <row r="14" spans="1:4">
      <c r="A14" s="72" t="s">
        <v>247</v>
      </c>
      <c r="B14" s="73">
        <f>B9/B4</f>
        <v>1.6231864779233531</v>
      </c>
      <c r="C14" s="2"/>
      <c r="D14" s="2"/>
    </row>
    <row r="15" spans="1:4">
      <c r="A15" s="72" t="s">
        <v>248</v>
      </c>
      <c r="B15" s="73">
        <f>B10/B4</f>
        <v>1.3274583103100528</v>
      </c>
      <c r="C15" s="2"/>
      <c r="D15" s="2"/>
    </row>
    <row r="16" spans="1:4">
      <c r="A16" s="72" t="s">
        <v>249</v>
      </c>
      <c r="B16" s="74">
        <f>B3/B14</f>
        <v>18.050914296356986</v>
      </c>
      <c r="C16" s="2"/>
      <c r="D16" s="2"/>
    </row>
    <row r="17" spans="1:4" ht="15" customHeight="1">
      <c r="A17" s="72" t="s">
        <v>250</v>
      </c>
      <c r="B17" s="74">
        <f>B3/B15</f>
        <v>22.072256260278664</v>
      </c>
      <c r="C17" s="1" t="s">
        <v>251</v>
      </c>
      <c r="D17" s="1"/>
    </row>
    <row r="18" spans="1:4">
      <c r="A18" s="72" t="s">
        <v>252</v>
      </c>
      <c r="B18" s="74">
        <f>B7/B12</f>
        <v>9.4442993273413904</v>
      </c>
      <c r="C18" s="2"/>
      <c r="D18" s="2"/>
    </row>
    <row r="19" spans="1:4" ht="15" customHeight="1">
      <c r="A19" s="21" t="s">
        <v>253</v>
      </c>
      <c r="B19" s="75">
        <f>B10/B5</f>
        <v>4.5305744379182687E-2</v>
      </c>
      <c r="C19" s="1" t="s">
        <v>254</v>
      </c>
      <c r="D19" s="1"/>
    </row>
    <row r="20" spans="1:4">
      <c r="A20" s="18"/>
      <c r="B20" s="76"/>
      <c r="C20" s="2"/>
      <c r="D20" s="2"/>
    </row>
  </sheetData>
  <mergeCells count="18">
    <mergeCell ref="C18:D18"/>
    <mergeCell ref="C19:D19"/>
    <mergeCell ref="C20:D20"/>
    <mergeCell ref="C12:D12"/>
    <mergeCell ref="C14:D14"/>
    <mergeCell ref="C15:D15"/>
    <mergeCell ref="C16:D16"/>
    <mergeCell ref="C17:D17"/>
    <mergeCell ref="C6:D6"/>
    <mergeCell ref="C7:D7"/>
    <mergeCell ref="C9:D9"/>
    <mergeCell ref="C10:D10"/>
    <mergeCell ref="C11:D11"/>
    <mergeCell ref="A1:D1"/>
    <mergeCell ref="C2:D2"/>
    <mergeCell ref="C3:D3"/>
    <mergeCell ref="C4:D4"/>
    <mergeCell ref="C5:D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rightToLeft="1" zoomScale="99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1" sqref="D11"/>
    </sheetView>
  </sheetViews>
  <sheetFormatPr defaultColWidth="8.6640625" defaultRowHeight="14.4"/>
  <cols>
    <col min="1" max="1" width="12.21875" bestFit="1" customWidth="1"/>
    <col min="2" max="3" width="15" customWidth="1"/>
    <col min="4" max="4" width="22.44140625" bestFit="1" customWidth="1"/>
    <col min="5" max="5" width="15" customWidth="1"/>
  </cols>
  <sheetData>
    <row r="1" spans="1:6" ht="25.5" customHeight="1">
      <c r="A1" s="13" t="s">
        <v>310</v>
      </c>
      <c r="B1" s="13"/>
      <c r="C1" s="13"/>
      <c r="D1" s="13"/>
      <c r="E1" s="13"/>
      <c r="F1" s="13"/>
    </row>
    <row r="2" spans="1:6">
      <c r="A2" s="14" t="s">
        <v>255</v>
      </c>
      <c r="B2" s="17" t="s">
        <v>256</v>
      </c>
      <c r="C2" s="17" t="s">
        <v>257</v>
      </c>
    </row>
    <row r="3" spans="1:6">
      <c r="A3" s="65" t="s">
        <v>258</v>
      </c>
      <c r="B3" s="77">
        <v>0.2</v>
      </c>
      <c r="C3" s="78">
        <f>29984.446*(1+B3)</f>
        <v>35981.335200000001</v>
      </c>
      <c r="D3" s="102"/>
    </row>
    <row r="4" spans="1:6">
      <c r="A4" s="79" t="s">
        <v>259</v>
      </c>
      <c r="B4" s="77">
        <v>0.24</v>
      </c>
      <c r="C4" s="56">
        <f>29984.446*(1+B4)</f>
        <v>37180.713040000002</v>
      </c>
    </row>
    <row r="5" spans="1:6">
      <c r="A5" s="68" t="s">
        <v>260</v>
      </c>
      <c r="B5" s="77">
        <v>0.28000000000000003</v>
      </c>
      <c r="C5" s="80">
        <f>29984.446*(1+B5)</f>
        <v>38380.090880000003</v>
      </c>
      <c r="D5" s="102"/>
    </row>
    <row r="7" spans="1:6" ht="15" customHeight="1">
      <c r="A7" s="5" t="s">
        <v>312</v>
      </c>
      <c r="B7" s="5"/>
      <c r="C7" s="5"/>
      <c r="D7" s="5"/>
      <c r="E7" s="5"/>
      <c r="F7" s="5"/>
    </row>
    <row r="8" spans="1:6">
      <c r="A8" s="14" t="s">
        <v>261</v>
      </c>
      <c r="B8" s="17" t="s">
        <v>262</v>
      </c>
      <c r="C8" s="17" t="s">
        <v>263</v>
      </c>
      <c r="D8" s="17" t="s">
        <v>264</v>
      </c>
      <c r="E8" s="17" t="s">
        <v>40</v>
      </c>
      <c r="F8" s="17"/>
    </row>
    <row r="9" spans="1:6">
      <c r="A9" s="62" t="s">
        <v>265</v>
      </c>
      <c r="B9" s="32">
        <v>0.23</v>
      </c>
      <c r="C9" s="54">
        <v>8600</v>
      </c>
      <c r="D9" s="77">
        <v>0.252</v>
      </c>
      <c r="E9" s="22">
        <f>C9*D9</f>
        <v>2167.1999999999998</v>
      </c>
    </row>
    <row r="10" spans="1:6">
      <c r="A10" s="72" t="s">
        <v>266</v>
      </c>
      <c r="B10" s="107">
        <v>0.27</v>
      </c>
      <c r="C10" s="22">
        <f>C4*B10</f>
        <v>10038.792520800002</v>
      </c>
      <c r="D10" s="77">
        <v>0.245</v>
      </c>
      <c r="E10" s="22">
        <f>C10*D10</f>
        <v>2459.5041675960001</v>
      </c>
    </row>
    <row r="11" spans="1:6">
      <c r="A11" s="72" t="s">
        <v>267</v>
      </c>
      <c r="B11" s="32">
        <v>0.26</v>
      </c>
      <c r="C11" s="22">
        <f>C4*B11</f>
        <v>9666.9853904000011</v>
      </c>
      <c r="D11" s="77">
        <v>0.23499999999999999</v>
      </c>
      <c r="E11" s="22">
        <f>C11*D11</f>
        <v>2271.741566744</v>
      </c>
    </row>
    <row r="12" spans="1:6">
      <c r="A12" s="72" t="s">
        <v>268</v>
      </c>
      <c r="B12" s="32">
        <v>0.24</v>
      </c>
      <c r="C12" s="22">
        <f>C4*B12</f>
        <v>8923.3711296000001</v>
      </c>
      <c r="D12" s="77">
        <v>0.23</v>
      </c>
      <c r="E12" s="22">
        <f>C12*D12</f>
        <v>2052.3753598080002</v>
      </c>
    </row>
    <row r="13" spans="1:6">
      <c r="A13" s="36" t="s">
        <v>269</v>
      </c>
      <c r="B13" s="47">
        <f>SUM(B9:B12)</f>
        <v>1</v>
      </c>
      <c r="C13" s="22">
        <f>SUM(C9:C12)</f>
        <v>37229.149040800003</v>
      </c>
      <c r="D13" s="37">
        <f>E13/C13</f>
        <v>0.24042507886330292</v>
      </c>
      <c r="E13" s="22">
        <f>SUM(E9:E12)</f>
        <v>8950.8210941479992</v>
      </c>
    </row>
    <row r="15" spans="1:6">
      <c r="A15" s="7"/>
      <c r="B15" s="7"/>
      <c r="C15" s="7"/>
      <c r="D15" s="7"/>
      <c r="E15" s="7"/>
      <c r="F15" s="7"/>
    </row>
  </sheetData>
  <mergeCells count="3">
    <mergeCell ref="A1:F1"/>
    <mergeCell ref="A7:F7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rightToLeft="1" zoomScale="76" zoomScaleNormal="100"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W11" sqref="W11"/>
    </sheetView>
  </sheetViews>
  <sheetFormatPr defaultColWidth="8.6640625" defaultRowHeight="14.4"/>
  <cols>
    <col min="1" max="1" width="12.88671875" bestFit="1" customWidth="1"/>
    <col min="2" max="5" width="20.21875" bestFit="1" customWidth="1"/>
    <col min="6" max="6" width="0.44140625" style="101" customWidth="1"/>
    <col min="7" max="10" width="20.21875" bestFit="1" customWidth="1"/>
    <col min="11" max="11" width="0.33203125" style="101" customWidth="1"/>
    <col min="12" max="12" width="20.21875" bestFit="1" customWidth="1"/>
    <col min="13" max="14" width="21" bestFit="1" customWidth="1"/>
    <col min="15" max="15" width="18.6640625" customWidth="1"/>
    <col min="16" max="16" width="0.33203125" style="101" customWidth="1"/>
    <col min="17" max="17" width="18.6640625" customWidth="1"/>
    <col min="18" max="19" width="21.33203125" bestFit="1" customWidth="1"/>
    <col min="20" max="20" width="21.33203125" customWidth="1"/>
    <col min="21" max="21" width="0.44140625" style="101" customWidth="1"/>
    <col min="22" max="22" width="18.6640625" customWidth="1"/>
    <col min="23" max="24" width="21.33203125" bestFit="1" customWidth="1"/>
    <col min="25" max="25" width="18.88671875" customWidth="1"/>
    <col min="26" max="26" width="0.33203125" style="101" customWidth="1"/>
    <col min="27" max="27" width="10.88671875" bestFit="1" customWidth="1"/>
  </cols>
  <sheetData>
    <row r="1" spans="1:28" ht="25.5" customHeight="1">
      <c r="A1" s="13" t="s">
        <v>291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</row>
    <row r="2" spans="1:28" ht="14.4" customHeight="1">
      <c r="A2" s="14" t="s">
        <v>71</v>
      </c>
      <c r="B2" s="27" t="s">
        <v>72</v>
      </c>
      <c r="C2" s="27" t="s">
        <v>73</v>
      </c>
      <c r="D2" s="27" t="s">
        <v>74</v>
      </c>
      <c r="E2" s="27" t="s">
        <v>75</v>
      </c>
      <c r="G2" s="27" t="s">
        <v>76</v>
      </c>
      <c r="H2" s="27" t="s">
        <v>77</v>
      </c>
      <c r="I2" s="27" t="s">
        <v>78</v>
      </c>
      <c r="J2" s="27" t="s">
        <v>79</v>
      </c>
      <c r="L2" s="86" t="s">
        <v>80</v>
      </c>
      <c r="M2" s="27" t="s">
        <v>81</v>
      </c>
      <c r="N2" s="27" t="s">
        <v>82</v>
      </c>
      <c r="O2" s="27" t="s">
        <v>83</v>
      </c>
      <c r="Q2" s="27" t="s">
        <v>84</v>
      </c>
      <c r="R2" s="27" t="s">
        <v>85</v>
      </c>
      <c r="S2" s="27" t="s">
        <v>86</v>
      </c>
      <c r="T2" s="27" t="s">
        <v>87</v>
      </c>
      <c r="V2" s="111" t="s">
        <v>317</v>
      </c>
      <c r="W2" s="27" t="s">
        <v>88</v>
      </c>
      <c r="X2" s="27" t="s">
        <v>89</v>
      </c>
      <c r="Y2" s="27" t="s">
        <v>90</v>
      </c>
      <c r="AA2" s="28" t="s">
        <v>91</v>
      </c>
    </row>
    <row r="3" spans="1:28">
      <c r="A3" s="18" t="s">
        <v>36</v>
      </c>
      <c r="B3" s="29">
        <v>1861689122</v>
      </c>
      <c r="C3" s="29">
        <v>2226863636</v>
      </c>
      <c r="D3" s="29">
        <v>2435430424</v>
      </c>
      <c r="E3" s="29">
        <v>2281991070</v>
      </c>
      <c r="G3" s="29">
        <v>2403433446</v>
      </c>
      <c r="H3" s="29">
        <v>2761133770</v>
      </c>
      <c r="I3" s="29">
        <v>2996498775</v>
      </c>
      <c r="J3" s="29">
        <v>3202894179</v>
      </c>
      <c r="L3" s="29">
        <v>3423285226</v>
      </c>
      <c r="M3" s="29">
        <v>3730081032</v>
      </c>
      <c r="N3" s="29">
        <v>4500471406</v>
      </c>
      <c r="O3" s="29">
        <v>4474264097</v>
      </c>
      <c r="Q3" s="29">
        <v>5758301967</v>
      </c>
      <c r="R3" s="29">
        <v>6035549981</v>
      </c>
      <c r="S3" s="29">
        <v>6863671472</v>
      </c>
      <c r="T3" s="29">
        <v>5645092628</v>
      </c>
      <c r="V3" s="29">
        <v>6802910589</v>
      </c>
      <c r="W3" s="29">
        <v>7362177408</v>
      </c>
      <c r="X3" s="29">
        <v>7971607240</v>
      </c>
      <c r="Y3" s="29">
        <v>7847750985</v>
      </c>
      <c r="AA3" s="29">
        <v>8599713155</v>
      </c>
    </row>
    <row r="4" spans="1:28">
      <c r="A4" s="18" t="s">
        <v>40</v>
      </c>
      <c r="B4" s="29">
        <v>542614912</v>
      </c>
      <c r="C4" s="29">
        <v>718065543</v>
      </c>
      <c r="D4" s="29">
        <v>661685152</v>
      </c>
      <c r="E4" s="29">
        <v>604705106</v>
      </c>
      <c r="G4" s="29">
        <v>641817404</v>
      </c>
      <c r="H4" s="29">
        <v>772638703</v>
      </c>
      <c r="I4" s="29">
        <v>680999419</v>
      </c>
      <c r="J4" s="29">
        <v>809950100</v>
      </c>
      <c r="L4" s="29">
        <v>1017338784</v>
      </c>
      <c r="M4" s="29">
        <v>910504506</v>
      </c>
      <c r="N4" s="29">
        <v>1072115667</v>
      </c>
      <c r="O4" s="29">
        <v>1221731182</v>
      </c>
      <c r="Q4" s="29">
        <v>2204616820</v>
      </c>
      <c r="R4" s="29">
        <v>1928954980</v>
      </c>
      <c r="S4" s="29">
        <v>2035065549</v>
      </c>
      <c r="T4" s="29">
        <v>1221062075</v>
      </c>
      <c r="V4" s="29">
        <v>1176834132</v>
      </c>
      <c r="W4" s="29">
        <v>1862885101</v>
      </c>
      <c r="X4" s="29">
        <v>1941619692</v>
      </c>
      <c r="Y4" s="29">
        <v>1899545242</v>
      </c>
      <c r="AA4" s="29">
        <v>2168558717</v>
      </c>
    </row>
    <row r="5" spans="1:28" ht="14.4" customHeight="1">
      <c r="A5" s="21" t="s">
        <v>92</v>
      </c>
      <c r="B5" s="30">
        <f t="shared" ref="B5:AA5" si="0">B4/B3</f>
        <v>0.2914637602958503</v>
      </c>
      <c r="C5" s="30">
        <f t="shared" si="0"/>
        <v>0.32245600107325118</v>
      </c>
      <c r="D5" s="30">
        <f t="shared" si="0"/>
        <v>0.27169125649388703</v>
      </c>
      <c r="E5" s="30">
        <f t="shared" si="0"/>
        <v>0.26499012811649608</v>
      </c>
      <c r="G5" s="30">
        <f t="shared" si="0"/>
        <v>0.26704188754141189</v>
      </c>
      <c r="H5" s="30">
        <f t="shared" si="0"/>
        <v>0.27982661013921106</v>
      </c>
      <c r="I5" s="30">
        <f t="shared" si="0"/>
        <v>0.22726504168185419</v>
      </c>
      <c r="J5" s="30">
        <f t="shared" si="0"/>
        <v>0.25288069312763894</v>
      </c>
      <c r="L5" s="30">
        <f t="shared" si="0"/>
        <v>0.29718200992230148</v>
      </c>
      <c r="M5" s="30">
        <f t="shared" si="0"/>
        <v>0.24409778184143213</v>
      </c>
      <c r="N5" s="30">
        <f t="shared" si="0"/>
        <v>0.23822297050274827</v>
      </c>
      <c r="O5" s="30">
        <f t="shared" si="0"/>
        <v>0.27305745827993755</v>
      </c>
      <c r="Q5" s="30">
        <f t="shared" si="0"/>
        <v>0.38285884148388566</v>
      </c>
      <c r="R5" s="30">
        <f t="shared" si="0"/>
        <v>0.3195988743482166</v>
      </c>
      <c r="S5" s="30">
        <f t="shared" si="0"/>
        <v>0.2964980997855079</v>
      </c>
      <c r="T5" s="30">
        <f t="shared" si="0"/>
        <v>0.21630505564132968</v>
      </c>
      <c r="V5" s="112">
        <f t="shared" si="0"/>
        <v>0.17298979849931995</v>
      </c>
      <c r="W5" s="30">
        <f t="shared" si="0"/>
        <v>0.25303453010731902</v>
      </c>
      <c r="X5" s="30">
        <f t="shared" si="0"/>
        <v>0.24356690357966004</v>
      </c>
      <c r="Y5" s="30">
        <f t="shared" si="0"/>
        <v>0.24204963251646802</v>
      </c>
      <c r="AA5" s="30">
        <f t="shared" si="0"/>
        <v>0.25216640112457334</v>
      </c>
    </row>
    <row r="6" spans="1:28" ht="18">
      <c r="A6" s="24" t="s">
        <v>93</v>
      </c>
      <c r="B6" s="29">
        <v>260000000</v>
      </c>
      <c r="C6" s="29">
        <v>349000000</v>
      </c>
      <c r="D6" s="29">
        <v>335000000</v>
      </c>
      <c r="E6" s="29">
        <v>281000000</v>
      </c>
      <c r="G6" s="29">
        <v>279000000</v>
      </c>
      <c r="H6" s="29">
        <v>330000000</v>
      </c>
      <c r="I6" s="29">
        <v>340000000</v>
      </c>
      <c r="J6" s="29">
        <v>466000000</v>
      </c>
      <c r="L6" s="29">
        <v>594000000</v>
      </c>
      <c r="M6" s="29">
        <v>405000000</v>
      </c>
      <c r="N6" s="29">
        <v>576000000</v>
      </c>
      <c r="O6" s="29">
        <v>649000000</v>
      </c>
      <c r="Q6" s="29">
        <v>1397000000</v>
      </c>
      <c r="R6" s="29">
        <v>1516000000</v>
      </c>
      <c r="S6" s="29">
        <v>1510000000</v>
      </c>
      <c r="T6" s="29">
        <v>620000000</v>
      </c>
      <c r="V6" s="29">
        <v>1260000000</v>
      </c>
      <c r="W6" s="29">
        <v>1075000000</v>
      </c>
      <c r="X6" s="29">
        <v>1138000000</v>
      </c>
      <c r="Y6" s="29">
        <v>1160000000</v>
      </c>
      <c r="AA6" s="29">
        <v>1380000000</v>
      </c>
      <c r="AB6" s="85" t="s">
        <v>293</v>
      </c>
    </row>
    <row r="7" spans="1:28" ht="14.4" customHeight="1">
      <c r="A7" s="21" t="s">
        <v>94</v>
      </c>
      <c r="B7" s="31">
        <f t="shared" ref="B7:AA7" si="1">B6/B3</f>
        <v>0.13965811849439383</v>
      </c>
      <c r="C7" s="31">
        <f t="shared" si="1"/>
        <v>0.15672266337192098</v>
      </c>
      <c r="D7" s="31">
        <f t="shared" si="1"/>
        <v>0.13755268748338506</v>
      </c>
      <c r="E7" s="31">
        <f t="shared" si="1"/>
        <v>0.12313808046584512</v>
      </c>
      <c r="G7" s="31">
        <f t="shared" si="1"/>
        <v>0.1160839300394757</v>
      </c>
      <c r="H7" s="31">
        <f t="shared" si="1"/>
        <v>0.11951612181397499</v>
      </c>
      <c r="I7" s="31">
        <f t="shared" si="1"/>
        <v>0.11346575638096164</v>
      </c>
      <c r="J7" s="31">
        <f t="shared" si="1"/>
        <v>0.14549341125765616</v>
      </c>
      <c r="L7" s="31">
        <f t="shared" si="1"/>
        <v>0.17351753090526731</v>
      </c>
      <c r="M7" s="31">
        <f t="shared" si="1"/>
        <v>0.10857672970789231</v>
      </c>
      <c r="N7" s="31">
        <f t="shared" si="1"/>
        <v>0.12798659252274783</v>
      </c>
      <c r="O7" s="31">
        <f t="shared" si="1"/>
        <v>0.14505178637871541</v>
      </c>
      <c r="Q7" s="31">
        <f t="shared" si="1"/>
        <v>0.24260624191055036</v>
      </c>
      <c r="R7" s="31">
        <f t="shared" si="1"/>
        <v>0.25117843523330768</v>
      </c>
      <c r="S7" s="31">
        <f t="shared" si="1"/>
        <v>0.21999887467807405</v>
      </c>
      <c r="T7" s="31">
        <f t="shared" si="1"/>
        <v>0.10982990729412705</v>
      </c>
      <c r="V7" s="112">
        <f>(V6/V3)</f>
        <v>0.18521484054742146</v>
      </c>
      <c r="W7" s="31">
        <f t="shared" si="1"/>
        <v>0.14601658455443731</v>
      </c>
      <c r="X7" s="31">
        <f t="shared" si="1"/>
        <v>0.14275665693735307</v>
      </c>
      <c r="Y7" s="31">
        <f t="shared" si="1"/>
        <v>0.14781304888715197</v>
      </c>
      <c r="AA7" s="31">
        <f t="shared" si="1"/>
        <v>0.16047046862227582</v>
      </c>
    </row>
    <row r="8" spans="1:28">
      <c r="A8" s="18" t="s">
        <v>95</v>
      </c>
      <c r="B8" s="29">
        <v>123145654</v>
      </c>
      <c r="C8" s="29">
        <v>193065871</v>
      </c>
      <c r="D8" s="29">
        <v>173529864</v>
      </c>
      <c r="E8" s="29">
        <v>36647729</v>
      </c>
      <c r="G8" s="29">
        <v>144419705</v>
      </c>
      <c r="H8" s="29">
        <v>174529686</v>
      </c>
      <c r="I8" s="29">
        <v>155137340</v>
      </c>
      <c r="J8" s="29">
        <v>163912269</v>
      </c>
      <c r="L8" s="29">
        <v>339414732</v>
      </c>
      <c r="M8" s="29">
        <v>217015918</v>
      </c>
      <c r="N8" s="29">
        <v>322506055</v>
      </c>
      <c r="O8" s="29">
        <v>142523513</v>
      </c>
      <c r="Q8" s="29">
        <v>478744970</v>
      </c>
      <c r="R8" s="29">
        <v>1001509233</v>
      </c>
      <c r="S8" s="29">
        <v>957590972</v>
      </c>
      <c r="T8" s="29">
        <v>297549341</v>
      </c>
      <c r="V8" s="29">
        <v>299671870</v>
      </c>
      <c r="W8" s="29">
        <v>481511135</v>
      </c>
      <c r="X8" s="29">
        <v>490745113</v>
      </c>
      <c r="Y8" s="29">
        <v>638166717</v>
      </c>
      <c r="AA8" s="29">
        <v>668716318</v>
      </c>
    </row>
    <row r="9" spans="1:28" ht="14.4" customHeight="1">
      <c r="A9" s="21" t="s">
        <v>96</v>
      </c>
      <c r="B9" s="31">
        <f t="shared" ref="B9:AA9" si="2">B8/B3</f>
        <v>6.6147270532313937E-2</v>
      </c>
      <c r="C9" s="31">
        <f t="shared" si="2"/>
        <v>8.6698560198681149E-2</v>
      </c>
      <c r="D9" s="31">
        <f t="shared" si="2"/>
        <v>7.1252236274108399E-2</v>
      </c>
      <c r="E9" s="31">
        <f t="shared" si="2"/>
        <v>1.6059540934136959E-2</v>
      </c>
      <c r="G9" s="31">
        <f t="shared" si="2"/>
        <v>6.0088913733124444E-2</v>
      </c>
      <c r="H9" s="31">
        <f t="shared" si="2"/>
        <v>6.32094279155479E-2</v>
      </c>
      <c r="I9" s="31">
        <f t="shared" si="2"/>
        <v>5.1772869488324755E-2</v>
      </c>
      <c r="J9" s="31">
        <f t="shared" si="2"/>
        <v>5.1176298634747992E-2</v>
      </c>
      <c r="L9" s="31">
        <f t="shared" si="2"/>
        <v>9.9148832069887241E-2</v>
      </c>
      <c r="M9" s="31">
        <f t="shared" si="2"/>
        <v>5.8179947335792889E-2</v>
      </c>
      <c r="N9" s="31">
        <f t="shared" si="2"/>
        <v>7.1660505290631768E-2</v>
      </c>
      <c r="O9" s="31">
        <f t="shared" si="2"/>
        <v>3.1854068045639554E-2</v>
      </c>
      <c r="Q9" s="31">
        <f t="shared" si="2"/>
        <v>8.3139955622962905E-2</v>
      </c>
      <c r="R9" s="89">
        <f t="shared" si="2"/>
        <v>0.16593504090808059</v>
      </c>
      <c r="S9" s="89">
        <f t="shared" si="2"/>
        <v>0.13951585181581663</v>
      </c>
      <c r="T9" s="31">
        <f t="shared" si="2"/>
        <v>5.2709381512029994E-2</v>
      </c>
      <c r="V9" s="31">
        <f t="shared" si="2"/>
        <v>4.4050537792537786E-2</v>
      </c>
      <c r="W9" s="31">
        <f t="shared" si="2"/>
        <v>6.5403359402447042E-2</v>
      </c>
      <c r="X9" s="31">
        <f t="shared" si="2"/>
        <v>6.156162718824567E-2</v>
      </c>
      <c r="Y9" s="31">
        <f t="shared" si="2"/>
        <v>8.1318420808684719E-2</v>
      </c>
      <c r="AA9" s="31">
        <f t="shared" si="2"/>
        <v>7.7760305017987544E-2</v>
      </c>
    </row>
    <row r="10" spans="1:28" ht="14.4" customHeight="1">
      <c r="R10" s="103" t="s">
        <v>309</v>
      </c>
      <c r="S10" s="103"/>
    </row>
    <row r="11" spans="1:28" ht="25.5" customHeight="1">
      <c r="A11" s="99" t="s">
        <v>97</v>
      </c>
      <c r="B11" s="99"/>
      <c r="C11" s="99"/>
      <c r="D11" s="99"/>
      <c r="E11" s="99"/>
      <c r="G11" s="98"/>
      <c r="H11" s="98"/>
      <c r="I11" s="98"/>
      <c r="J11" s="98"/>
      <c r="L11" s="98"/>
      <c r="M11" s="98"/>
      <c r="N11" s="98"/>
      <c r="O11" s="98"/>
      <c r="Q11" s="98"/>
      <c r="R11" s="98"/>
      <c r="S11" s="98"/>
      <c r="T11" s="98"/>
      <c r="V11" s="98"/>
      <c r="W11" s="98"/>
      <c r="X11" s="98"/>
      <c r="Y11" s="98"/>
      <c r="AB11" s="98"/>
    </row>
    <row r="13" spans="1:28" ht="14.4" customHeight="1">
      <c r="B13" s="88" t="s">
        <v>311</v>
      </c>
      <c r="C13" s="88"/>
      <c r="D13" s="88"/>
      <c r="E13" s="88"/>
      <c r="G13" s="88" t="s">
        <v>311</v>
      </c>
      <c r="H13" s="88"/>
      <c r="I13" s="88"/>
      <c r="J13" s="88"/>
      <c r="L13" s="88" t="s">
        <v>311</v>
      </c>
      <c r="M13" s="88"/>
      <c r="N13" s="88"/>
      <c r="O13" s="88"/>
      <c r="Q13" s="88" t="s">
        <v>311</v>
      </c>
      <c r="R13" s="88"/>
      <c r="S13" s="88"/>
      <c r="T13" s="88"/>
      <c r="V13" s="88" t="s">
        <v>311</v>
      </c>
      <c r="W13" s="88"/>
      <c r="X13" s="88"/>
      <c r="Y13" s="88"/>
    </row>
    <row r="14" spans="1:28" ht="14.4" customHeight="1">
      <c r="B14" s="97">
        <f>B3</f>
        <v>1861689122</v>
      </c>
      <c r="C14" s="97">
        <f t="shared" ref="C14:E14" si="3">C3</f>
        <v>2226863636</v>
      </c>
      <c r="D14" s="97">
        <f t="shared" si="3"/>
        <v>2435430424</v>
      </c>
      <c r="E14" s="97">
        <f t="shared" si="3"/>
        <v>2281991070</v>
      </c>
      <c r="G14" s="97">
        <f>G3</f>
        <v>2403433446</v>
      </c>
      <c r="H14" s="97">
        <f t="shared" ref="H14:J14" si="4">H3</f>
        <v>2761133770</v>
      </c>
      <c r="I14" s="97">
        <f t="shared" si="4"/>
        <v>2996498775</v>
      </c>
      <c r="J14" s="97">
        <f t="shared" si="4"/>
        <v>3202894179</v>
      </c>
      <c r="L14" s="97">
        <f>L3</f>
        <v>3423285226</v>
      </c>
      <c r="M14" s="97">
        <f t="shared" ref="M14:O14" si="5">M3</f>
        <v>3730081032</v>
      </c>
      <c r="N14" s="97">
        <f t="shared" si="5"/>
        <v>4500471406</v>
      </c>
      <c r="O14" s="97">
        <f t="shared" si="5"/>
        <v>4474264097</v>
      </c>
      <c r="Q14" s="97">
        <f>Q3</f>
        <v>5758301967</v>
      </c>
      <c r="R14" s="97">
        <f t="shared" ref="R14:S14" si="6">R3</f>
        <v>6035549981</v>
      </c>
      <c r="S14" s="97">
        <f t="shared" si="6"/>
        <v>6863671472</v>
      </c>
      <c r="T14" s="97">
        <f>T3</f>
        <v>5645092628</v>
      </c>
      <c r="V14" s="97">
        <f>V3</f>
        <v>6802910589</v>
      </c>
      <c r="W14" s="97">
        <f t="shared" ref="W14:Y14" si="7">W3</f>
        <v>7362177408</v>
      </c>
      <c r="X14" s="97">
        <f t="shared" si="7"/>
        <v>7971607240</v>
      </c>
      <c r="Y14" s="97">
        <f t="shared" si="7"/>
        <v>7847750985</v>
      </c>
    </row>
    <row r="15" spans="1:28" ht="14.4" customHeight="1">
      <c r="B15" s="97">
        <f>SUM(B3:E3)</f>
        <v>8805974252</v>
      </c>
      <c r="C15" s="97">
        <v>8805974252</v>
      </c>
      <c r="D15" s="97">
        <v>8805974252</v>
      </c>
      <c r="E15" s="97">
        <v>8805974252</v>
      </c>
      <c r="G15" s="97">
        <f>SUM(G3:J3)</f>
        <v>11363960170</v>
      </c>
      <c r="H15" s="97">
        <v>11363960170</v>
      </c>
      <c r="I15" s="97">
        <v>11363960170</v>
      </c>
      <c r="J15" s="97">
        <v>11363960170</v>
      </c>
      <c r="L15" s="97">
        <f>SUM(L3:O3)</f>
        <v>16128101761</v>
      </c>
      <c r="M15" s="97">
        <v>16128101761</v>
      </c>
      <c r="N15" s="97">
        <v>16128101761</v>
      </c>
      <c r="O15" s="97">
        <v>16128101761</v>
      </c>
      <c r="Q15" s="97">
        <f>SUM(Q3:T3)</f>
        <v>24302616048</v>
      </c>
      <c r="R15" s="97">
        <v>24302616048</v>
      </c>
      <c r="S15" s="97">
        <v>24302616048</v>
      </c>
      <c r="T15" s="97">
        <v>24302616048</v>
      </c>
      <c r="V15" s="97">
        <f>SUM(V3:Y3)</f>
        <v>29984446222</v>
      </c>
      <c r="W15" s="97">
        <v>29984446222</v>
      </c>
      <c r="X15" s="97">
        <v>29984446222</v>
      </c>
      <c r="Y15" s="97">
        <v>29984446222</v>
      </c>
    </row>
    <row r="16" spans="1:28" ht="14.4" customHeight="1">
      <c r="B16" s="104">
        <f>B14/B15</f>
        <v>0.21141205603425151</v>
      </c>
      <c r="C16" s="104">
        <f t="shared" ref="C16:E16" si="8">C14/C15</f>
        <v>0.25288100694755472</v>
      </c>
      <c r="D16" s="104">
        <f t="shared" si="8"/>
        <v>0.27656569895680411</v>
      </c>
      <c r="E16" s="104">
        <f t="shared" si="8"/>
        <v>0.25914123806138967</v>
      </c>
      <c r="G16" s="104">
        <f>G14/G15</f>
        <v>0.21149611667461521</v>
      </c>
      <c r="H16" s="104">
        <f t="shared" ref="H16" si="9">H14/H15</f>
        <v>0.24297284825840779</v>
      </c>
      <c r="I16" s="104">
        <f t="shared" ref="I16" si="10">I14/I15</f>
        <v>0.26368437852418131</v>
      </c>
      <c r="J16" s="104">
        <f t="shared" ref="J16" si="11">J14/J15</f>
        <v>0.28184665654279567</v>
      </c>
      <c r="L16" s="104">
        <f>L14/L15</f>
        <v>0.21225592923018263</v>
      </c>
      <c r="M16" s="104">
        <f t="shared" ref="M16" si="12">M14/M15</f>
        <v>0.23127836662215615</v>
      </c>
      <c r="N16" s="104">
        <f t="shared" ref="N16" si="13">N14/N15</f>
        <v>0.27904532552508859</v>
      </c>
      <c r="O16" s="104">
        <f t="shared" ref="O16" si="14">O14/O15</f>
        <v>0.27742037862257263</v>
      </c>
      <c r="Q16" s="104">
        <f>Q14/Q15</f>
        <v>0.23694165087523092</v>
      </c>
      <c r="R16" s="104">
        <f t="shared" ref="R16" si="15">R14/R15</f>
        <v>0.24834980600768286</v>
      </c>
      <c r="S16" s="104">
        <f t="shared" ref="S16" si="16">S14/S15</f>
        <v>0.28242521127946019</v>
      </c>
      <c r="T16" s="104">
        <f t="shared" ref="T16" si="17">T14/T15</f>
        <v>0.23228333183762603</v>
      </c>
      <c r="V16" s="104">
        <f>V14/V15</f>
        <v>0.22688131502020575</v>
      </c>
      <c r="W16" s="104">
        <f t="shared" ref="W16" si="18">W14/W15</f>
        <v>0.245533212569331</v>
      </c>
      <c r="X16" s="104">
        <f t="shared" ref="X16" si="19">X14/X15</f>
        <v>0.26585807791744781</v>
      </c>
      <c r="Y16" s="104">
        <f t="shared" ref="Y16" si="20">Y14/Y15</f>
        <v>0.26172739449301541</v>
      </c>
    </row>
    <row r="17" spans="2:25" ht="14.4" customHeight="1">
      <c r="I17" s="83"/>
      <c r="L17" s="83"/>
      <c r="N17" s="83"/>
      <c r="Q17" s="83"/>
      <c r="S17" s="83"/>
      <c r="V17" s="83"/>
    </row>
    <row r="18" spans="2:25" ht="14.4" customHeight="1">
      <c r="B18" s="88" t="s">
        <v>313</v>
      </c>
      <c r="C18" s="88"/>
      <c r="D18" s="88"/>
      <c r="E18" s="88"/>
      <c r="G18" s="88" t="s">
        <v>313</v>
      </c>
      <c r="H18" s="88"/>
      <c r="I18" s="88"/>
      <c r="J18" s="88"/>
      <c r="L18" s="88" t="s">
        <v>313</v>
      </c>
      <c r="M18" s="88"/>
      <c r="N18" s="88"/>
      <c r="O18" s="88"/>
      <c r="Q18" s="88" t="s">
        <v>313</v>
      </c>
      <c r="R18" s="88"/>
      <c r="S18" s="88"/>
      <c r="T18" s="88"/>
      <c r="V18" s="88" t="s">
        <v>313</v>
      </c>
      <c r="W18" s="88"/>
      <c r="X18" s="88"/>
      <c r="Y18" s="88"/>
    </row>
    <row r="19" spans="2:25">
      <c r="B19" s="97">
        <f>B3-B4</f>
        <v>1319074210</v>
      </c>
      <c r="C19" s="97">
        <f t="shared" ref="C19:Y19" si="21">C3-C4</f>
        <v>1508798093</v>
      </c>
      <c r="D19" s="97">
        <f t="shared" si="21"/>
        <v>1773745272</v>
      </c>
      <c r="E19" s="97">
        <f t="shared" si="21"/>
        <v>1677285964</v>
      </c>
      <c r="G19" s="97">
        <f t="shared" si="21"/>
        <v>1761616042</v>
      </c>
      <c r="H19" s="97">
        <f t="shared" si="21"/>
        <v>1988495067</v>
      </c>
      <c r="I19" s="97">
        <f t="shared" si="21"/>
        <v>2315499356</v>
      </c>
      <c r="J19" s="97">
        <f t="shared" si="21"/>
        <v>2392944079</v>
      </c>
      <c r="L19" s="97">
        <f t="shared" si="21"/>
        <v>2405946442</v>
      </c>
      <c r="M19" s="97">
        <f t="shared" si="21"/>
        <v>2819576526</v>
      </c>
      <c r="N19" s="97">
        <f t="shared" si="21"/>
        <v>3428355739</v>
      </c>
      <c r="O19" s="97">
        <f t="shared" si="21"/>
        <v>3252532915</v>
      </c>
      <c r="Q19" s="97">
        <f t="shared" si="21"/>
        <v>3553685147</v>
      </c>
      <c r="R19" s="97">
        <f t="shared" si="21"/>
        <v>4106595001</v>
      </c>
      <c r="S19" s="97">
        <f t="shared" si="21"/>
        <v>4828605923</v>
      </c>
      <c r="T19" s="97">
        <f t="shared" si="21"/>
        <v>4424030553</v>
      </c>
      <c r="V19" s="97">
        <f t="shared" si="21"/>
        <v>5626076457</v>
      </c>
      <c r="W19" s="97">
        <f t="shared" si="21"/>
        <v>5499292307</v>
      </c>
      <c r="X19" s="97">
        <f t="shared" si="21"/>
        <v>6029987548</v>
      </c>
      <c r="Y19" s="97">
        <f t="shared" si="21"/>
        <v>5948205743</v>
      </c>
    </row>
    <row r="20" spans="2:25">
      <c r="B20" s="105">
        <f>B19/B14</f>
        <v>0.7085362397041497</v>
      </c>
      <c r="C20" s="105">
        <f t="shared" ref="C20:T20" si="22">C19/C14</f>
        <v>0.67754399892674888</v>
      </c>
      <c r="D20" s="105">
        <f t="shared" si="22"/>
        <v>0.72830874350611297</v>
      </c>
      <c r="E20" s="105">
        <f t="shared" si="22"/>
        <v>0.73500987188350386</v>
      </c>
      <c r="G20" s="105">
        <f t="shared" si="22"/>
        <v>0.73295811245858811</v>
      </c>
      <c r="H20" s="105">
        <f t="shared" si="22"/>
        <v>0.72017338986078894</v>
      </c>
      <c r="I20" s="105">
        <f t="shared" si="22"/>
        <v>0.77273495831814587</v>
      </c>
      <c r="J20" s="105">
        <f t="shared" si="22"/>
        <v>0.74711930687236106</v>
      </c>
      <c r="L20" s="105">
        <f t="shared" si="22"/>
        <v>0.70281799007769852</v>
      </c>
      <c r="M20" s="105">
        <f t="shared" si="22"/>
        <v>0.75590221815856784</v>
      </c>
      <c r="N20" s="105">
        <f t="shared" si="22"/>
        <v>0.76177702949725179</v>
      </c>
      <c r="O20" s="105">
        <f t="shared" si="22"/>
        <v>0.72694254172006245</v>
      </c>
      <c r="Q20" s="105">
        <f t="shared" si="22"/>
        <v>0.61714115851611429</v>
      </c>
      <c r="R20" s="105">
        <f t="shared" si="22"/>
        <v>0.68040112565178346</v>
      </c>
      <c r="S20" s="105">
        <f t="shared" si="22"/>
        <v>0.7035019002144921</v>
      </c>
      <c r="T20" s="105">
        <f t="shared" si="22"/>
        <v>0.78369494435867026</v>
      </c>
      <c r="V20" s="105">
        <f t="shared" ref="V20:Y20" si="23">V19/V14</f>
        <v>0.82701020150068005</v>
      </c>
      <c r="W20" s="105">
        <f t="shared" si="23"/>
        <v>0.74696546989268098</v>
      </c>
      <c r="X20" s="105">
        <f t="shared" si="23"/>
        <v>0.75643309642033996</v>
      </c>
      <c r="Y20" s="105">
        <f t="shared" si="23"/>
        <v>0.75795036748353195</v>
      </c>
    </row>
    <row r="21" spans="2:25" ht="28.8">
      <c r="V21" s="106" t="s">
        <v>314</v>
      </c>
    </row>
  </sheetData>
  <mergeCells count="18">
    <mergeCell ref="G18:J18"/>
    <mergeCell ref="L18:O18"/>
    <mergeCell ref="Q18:T18"/>
    <mergeCell ref="V18:Y18"/>
    <mergeCell ref="A1:AB1"/>
    <mergeCell ref="R10:S10"/>
    <mergeCell ref="B13:E13"/>
    <mergeCell ref="A11:E11"/>
    <mergeCell ref="F2:F1048576"/>
    <mergeCell ref="P2:P1048576"/>
    <mergeCell ref="U2:U1048576"/>
    <mergeCell ref="K2:K1048576"/>
    <mergeCell ref="G13:J13"/>
    <mergeCell ref="L13:O13"/>
    <mergeCell ref="Q13:T13"/>
    <mergeCell ref="V13:Y13"/>
    <mergeCell ref="Z2:Z1048576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0"/>
  <sheetViews>
    <sheetView rightToLeft="1" zoomScale="99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8.6640625" defaultRowHeight="14.4"/>
  <cols>
    <col min="1" max="1" width="16.33203125" bestFit="1" customWidth="1"/>
    <col min="2" max="2" width="44.21875" bestFit="1" customWidth="1"/>
    <col min="3" max="3" width="35.5546875" bestFit="1" customWidth="1"/>
  </cols>
  <sheetData>
    <row r="1" spans="1:3" ht="25.5" customHeight="1">
      <c r="A1" s="13" t="s">
        <v>270</v>
      </c>
      <c r="B1" s="13"/>
      <c r="C1" s="13"/>
    </row>
    <row r="2" spans="1:3">
      <c r="A2" s="14" t="s">
        <v>271</v>
      </c>
      <c r="B2" s="17" t="s">
        <v>272</v>
      </c>
      <c r="C2" s="17" t="s">
        <v>273</v>
      </c>
    </row>
    <row r="3" spans="1:3" ht="33.75" customHeight="1">
      <c r="A3" s="36" t="s">
        <v>274</v>
      </c>
      <c r="B3" s="96" t="s">
        <v>305</v>
      </c>
      <c r="C3" s="82" t="s">
        <v>275</v>
      </c>
    </row>
    <row r="4" spans="1:3" ht="33.75" customHeight="1">
      <c r="A4" s="36" t="s">
        <v>302</v>
      </c>
      <c r="B4" s="81" t="s">
        <v>306</v>
      </c>
      <c r="C4" s="82" t="s">
        <v>276</v>
      </c>
    </row>
    <row r="5" spans="1:3" ht="33.75" customHeight="1">
      <c r="A5" s="36" t="s">
        <v>277</v>
      </c>
      <c r="B5" s="95" t="s">
        <v>307</v>
      </c>
      <c r="C5" s="82" t="s">
        <v>278</v>
      </c>
    </row>
    <row r="6" spans="1:3" ht="33.75" customHeight="1">
      <c r="A6" s="36" t="s">
        <v>279</v>
      </c>
      <c r="B6" s="95" t="s">
        <v>303</v>
      </c>
      <c r="C6" s="82" t="s">
        <v>280</v>
      </c>
    </row>
    <row r="7" spans="1:3" ht="33.75" customHeight="1">
      <c r="A7" s="36" t="s">
        <v>281</v>
      </c>
      <c r="B7" s="96" t="s">
        <v>304</v>
      </c>
      <c r="C7" s="82" t="s">
        <v>282</v>
      </c>
    </row>
    <row r="8" spans="1:3" ht="33.75" customHeight="1">
      <c r="A8" s="36" t="s">
        <v>283</v>
      </c>
      <c r="B8" s="81" t="s">
        <v>308</v>
      </c>
      <c r="C8" s="82" t="s">
        <v>284</v>
      </c>
    </row>
    <row r="9" spans="1:3" ht="33.75" customHeight="1">
      <c r="A9" s="36" t="s">
        <v>285</v>
      </c>
      <c r="B9" s="81" t="s">
        <v>286</v>
      </c>
      <c r="C9" s="82" t="s">
        <v>287</v>
      </c>
    </row>
    <row r="10" spans="1:3" ht="33.75" customHeight="1">
      <c r="A10" s="36" t="s">
        <v>288</v>
      </c>
      <c r="B10" s="81" t="s">
        <v>289</v>
      </c>
      <c r="C10" s="82" t="s">
        <v>290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فهرس</vt:lpstr>
      <vt:lpstr>الموسمية</vt:lpstr>
      <vt:lpstr>المركز المالي</vt:lpstr>
      <vt:lpstr>فروق العملة</vt:lpstr>
      <vt:lpstr>رأس المال العامل</vt:lpstr>
      <vt:lpstr>تشريح الإيراد</vt:lpstr>
      <vt:lpstr>تشريح التكاليف</vt:lpstr>
      <vt:lpstr>التدفقات النقدية</vt:lpstr>
      <vt:lpstr>قائمة الدخل</vt:lpstr>
      <vt:lpstr>الرفع والعوائد</vt:lpstr>
      <vt:lpstr>التقييم</vt:lpstr>
      <vt:lpstr>توقّع 2026</vt:lpstr>
      <vt:lpstr>البيانات الفصلية</vt:lpstr>
      <vt:lpstr>تصريحات الإدارة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Dawod</cp:lastModifiedBy>
  <cp:revision>0</cp:revision>
  <dcterms:created xsi:type="dcterms:W3CDTF">2026-06-12T08:05:05Z</dcterms:created>
  <dcterms:modified xsi:type="dcterms:W3CDTF">2026-06-12T18:57:59Z</dcterms:modified>
  <dc:language>en-US</dc:language>
</cp:coreProperties>
</file>