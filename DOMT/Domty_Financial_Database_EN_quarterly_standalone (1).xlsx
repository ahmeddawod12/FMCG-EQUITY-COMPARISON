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MCG\DOMT\"/>
    </mc:Choice>
  </mc:AlternateContent>
  <xr:revisionPtr revIDLastSave="0" documentId="13_ncr:1_{22DA0D77-0C76-4EB8-AAD2-CF7A1374E737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Input_IS" sheetId="1" state="hidden" r:id="rId1"/>
    <sheet name="Input_BS" sheetId="2" state="hidden" r:id="rId2"/>
    <sheet name="Input_CF" sheetId="3" state="hidden" r:id="rId3"/>
    <sheet name="Income Statement" sheetId="4" r:id="rId4"/>
    <sheet name="Balance Sheet" sheetId="5" r:id="rId5"/>
    <sheet name="Cash Flow" sheetId="6" r:id="rId6"/>
    <sheet name="Ratios" sheetId="14" r:id="rId7"/>
    <sheet name="Working Capital" sheetId="8" state="hidden" r:id="rId8"/>
    <sheet name="Checks" sheetId="9" state="hidden" r:id="rId9"/>
    <sheet name="Index" sheetId="10" state="hidden" r:id="rId10"/>
    <sheet name="Source_IS_YTD" sheetId="11" state="hidden" r:id="rId11"/>
    <sheet name="Source_CF_YTD" sheetId="12" state="hidden" r:id="rId12"/>
    <sheet name="Source_BS_AsReported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4" i="14" l="1"/>
  <c r="Q34" i="14"/>
  <c r="M34" i="14"/>
  <c r="I34" i="14"/>
  <c r="E34" i="14"/>
  <c r="V34" i="14"/>
  <c r="T34" i="14"/>
  <c r="S34" i="14"/>
  <c r="R34" i="14"/>
  <c r="P34" i="14"/>
  <c r="O34" i="14"/>
  <c r="N34" i="14"/>
  <c r="L34" i="14"/>
  <c r="K34" i="14"/>
  <c r="J34" i="14"/>
  <c r="H34" i="14"/>
  <c r="G34" i="14"/>
  <c r="F34" i="14"/>
  <c r="D34" i="14"/>
  <c r="C34" i="14"/>
  <c r="B34" i="14"/>
  <c r="Q37" i="14"/>
  <c r="M37" i="14"/>
  <c r="I37" i="14"/>
  <c r="E38" i="14"/>
  <c r="I38" i="14"/>
  <c r="M38" i="14"/>
  <c r="Q38" i="14"/>
  <c r="U38" i="14"/>
  <c r="U37" i="14"/>
  <c r="V36" i="14"/>
  <c r="U36" i="14"/>
  <c r="Q36" i="14"/>
  <c r="M36" i="14"/>
  <c r="I36" i="14"/>
  <c r="E36" i="14"/>
  <c r="F36" i="14"/>
  <c r="G36" i="14"/>
  <c r="H36" i="14"/>
  <c r="J36" i="14"/>
  <c r="K36" i="14"/>
  <c r="L36" i="14"/>
  <c r="N36" i="14"/>
  <c r="O36" i="14"/>
  <c r="P36" i="14"/>
  <c r="R36" i="14"/>
  <c r="S36" i="14"/>
  <c r="T36" i="14"/>
  <c r="F37" i="14"/>
  <c r="G37" i="14"/>
  <c r="H37" i="14"/>
  <c r="J37" i="14"/>
  <c r="K37" i="14"/>
  <c r="L37" i="14"/>
  <c r="N37" i="14"/>
  <c r="O37" i="14"/>
  <c r="P37" i="14"/>
  <c r="R37" i="14"/>
  <c r="S37" i="14"/>
  <c r="T37" i="14"/>
  <c r="V37" i="14"/>
  <c r="F38" i="14"/>
  <c r="G38" i="14"/>
  <c r="H38" i="14"/>
  <c r="J38" i="14"/>
  <c r="K38" i="14"/>
  <c r="L38" i="14"/>
  <c r="N38" i="14"/>
  <c r="O38" i="14"/>
  <c r="P38" i="14"/>
  <c r="R38" i="14"/>
  <c r="S38" i="14"/>
  <c r="T38" i="14"/>
  <c r="V38" i="14"/>
  <c r="E37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4" i="14"/>
  <c r="F43" i="14"/>
  <c r="F42" i="14"/>
  <c r="F41" i="14"/>
  <c r="D38" i="14"/>
  <c r="C38" i="14"/>
  <c r="D37" i="14"/>
  <c r="C37" i="14"/>
  <c r="D36" i="14"/>
  <c r="C36" i="14"/>
  <c r="B38" i="14"/>
  <c r="B37" i="14"/>
  <c r="B36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V28" i="14"/>
  <c r="V31" i="14" s="1"/>
  <c r="U28" i="14"/>
  <c r="U31" i="14" s="1"/>
  <c r="T28" i="14"/>
  <c r="T31" i="14" s="1"/>
  <c r="S28" i="14"/>
  <c r="S31" i="14" s="1"/>
  <c r="R28" i="14"/>
  <c r="R31" i="14" s="1"/>
  <c r="Q28" i="14"/>
  <c r="Q31" i="14" s="1"/>
  <c r="P28" i="14"/>
  <c r="P31" i="14" s="1"/>
  <c r="O28" i="14"/>
  <c r="O31" i="14" s="1"/>
  <c r="N28" i="14"/>
  <c r="N31" i="14" s="1"/>
  <c r="M28" i="14"/>
  <c r="M31" i="14" s="1"/>
  <c r="L28" i="14"/>
  <c r="L31" i="14" s="1"/>
  <c r="K28" i="14"/>
  <c r="K31" i="14" s="1"/>
  <c r="J28" i="14"/>
  <c r="J31" i="14" s="1"/>
  <c r="I28" i="14"/>
  <c r="I31" i="14" s="1"/>
  <c r="H28" i="14"/>
  <c r="H31" i="14" s="1"/>
  <c r="G28" i="14"/>
  <c r="G31" i="14" s="1"/>
  <c r="F28" i="14"/>
  <c r="F31" i="14" s="1"/>
  <c r="E28" i="14"/>
  <c r="E31" i="14" s="1"/>
  <c r="D28" i="14"/>
  <c r="D31" i="14" s="1"/>
  <c r="C28" i="14"/>
  <c r="C31" i="14" s="1"/>
  <c r="V27" i="14"/>
  <c r="V30" i="14" s="1"/>
  <c r="U27" i="14"/>
  <c r="U30" i="14" s="1"/>
  <c r="T27" i="14"/>
  <c r="T30" i="14" s="1"/>
  <c r="S27" i="14"/>
  <c r="S30" i="14" s="1"/>
  <c r="R27" i="14"/>
  <c r="R30" i="14" s="1"/>
  <c r="Q27" i="14"/>
  <c r="Q30" i="14" s="1"/>
  <c r="P27" i="14"/>
  <c r="P30" i="14" s="1"/>
  <c r="O27" i="14"/>
  <c r="O30" i="14" s="1"/>
  <c r="N27" i="14"/>
  <c r="N29" i="14" s="1"/>
  <c r="M27" i="14"/>
  <c r="M29" i="14" s="1"/>
  <c r="L27" i="14"/>
  <c r="L30" i="14" s="1"/>
  <c r="K27" i="14"/>
  <c r="K29" i="14" s="1"/>
  <c r="J27" i="14"/>
  <c r="J30" i="14" s="1"/>
  <c r="I27" i="14"/>
  <c r="I30" i="14" s="1"/>
  <c r="H27" i="14"/>
  <c r="H30" i="14" s="1"/>
  <c r="G27" i="14"/>
  <c r="G29" i="14" s="1"/>
  <c r="F27" i="14"/>
  <c r="F30" i="14" s="1"/>
  <c r="E27" i="14"/>
  <c r="E30" i="14" s="1"/>
  <c r="D27" i="14"/>
  <c r="D30" i="14" s="1"/>
  <c r="C27" i="14"/>
  <c r="C30" i="14" s="1"/>
  <c r="B33" i="14"/>
  <c r="B32" i="14"/>
  <c r="B28" i="14"/>
  <c r="B31" i="14" s="1"/>
  <c r="B27" i="14"/>
  <c r="B29" i="14" s="1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V21" i="14"/>
  <c r="V24" i="14" s="1"/>
  <c r="U21" i="14"/>
  <c r="U24" i="14" s="1"/>
  <c r="T21" i="14"/>
  <c r="T24" i="14" s="1"/>
  <c r="S21" i="14"/>
  <c r="S24" i="14" s="1"/>
  <c r="R21" i="14"/>
  <c r="R24" i="14" s="1"/>
  <c r="Q21" i="14"/>
  <c r="Q24" i="14" s="1"/>
  <c r="P21" i="14"/>
  <c r="P24" i="14" s="1"/>
  <c r="O21" i="14"/>
  <c r="O24" i="14" s="1"/>
  <c r="N21" i="14"/>
  <c r="N24" i="14" s="1"/>
  <c r="M21" i="14"/>
  <c r="M24" i="14" s="1"/>
  <c r="L21" i="14"/>
  <c r="L24" i="14" s="1"/>
  <c r="K21" i="14"/>
  <c r="K24" i="14" s="1"/>
  <c r="J21" i="14"/>
  <c r="J24" i="14" s="1"/>
  <c r="I21" i="14"/>
  <c r="I24" i="14" s="1"/>
  <c r="H21" i="14"/>
  <c r="H24" i="14" s="1"/>
  <c r="G21" i="14"/>
  <c r="G24" i="14" s="1"/>
  <c r="F21" i="14"/>
  <c r="F24" i="14" s="1"/>
  <c r="E21" i="14"/>
  <c r="E24" i="14" s="1"/>
  <c r="D21" i="14"/>
  <c r="D24" i="14" s="1"/>
  <c r="C21" i="14"/>
  <c r="B23" i="14"/>
  <c r="B22" i="14"/>
  <c r="B21" i="14"/>
  <c r="V17" i="14"/>
  <c r="V18" i="14" s="1"/>
  <c r="U17" i="14"/>
  <c r="U18" i="14" s="1"/>
  <c r="T17" i="14"/>
  <c r="T18" i="14" s="1"/>
  <c r="S17" i="14"/>
  <c r="S18" i="14" s="1"/>
  <c r="R17" i="14"/>
  <c r="R18" i="14" s="1"/>
  <c r="Q17" i="14"/>
  <c r="Q18" i="14" s="1"/>
  <c r="P17" i="14"/>
  <c r="P18" i="14" s="1"/>
  <c r="O17" i="14"/>
  <c r="O18" i="14" s="1"/>
  <c r="N17" i="14"/>
  <c r="N18" i="14" s="1"/>
  <c r="M17" i="14"/>
  <c r="M18" i="14" s="1"/>
  <c r="L17" i="14"/>
  <c r="L18" i="14" s="1"/>
  <c r="K17" i="14"/>
  <c r="K18" i="14" s="1"/>
  <c r="J17" i="14"/>
  <c r="J18" i="14" s="1"/>
  <c r="I17" i="14"/>
  <c r="I18" i="14" s="1"/>
  <c r="H17" i="14"/>
  <c r="H18" i="14" s="1"/>
  <c r="G17" i="14"/>
  <c r="G18" i="14" s="1"/>
  <c r="F17" i="14"/>
  <c r="F18" i="14" s="1"/>
  <c r="E17" i="14"/>
  <c r="E18" i="14" s="1"/>
  <c r="D17" i="14"/>
  <c r="D18" i="14" s="1"/>
  <c r="C17" i="14"/>
  <c r="C18" i="14" s="1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7" i="14"/>
  <c r="B18" i="14" s="1"/>
  <c r="B16" i="14"/>
  <c r="B15" i="14"/>
  <c r="B14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11" i="14"/>
  <c r="B10" i="14"/>
  <c r="B9" i="14"/>
  <c r="B8" i="14"/>
  <c r="B7" i="14"/>
  <c r="B6" i="14"/>
  <c r="L45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B27" i="4"/>
  <c r="C27" i="4"/>
  <c r="D27" i="4"/>
  <c r="F27" i="4"/>
  <c r="G27" i="4"/>
  <c r="H27" i="4"/>
  <c r="J27" i="4"/>
  <c r="K27" i="4"/>
  <c r="L27" i="4"/>
  <c r="N27" i="4"/>
  <c r="O27" i="4"/>
  <c r="P27" i="4"/>
  <c r="R27" i="4"/>
  <c r="S27" i="4"/>
  <c r="T27" i="4"/>
  <c r="V27" i="4"/>
  <c r="O8" i="4"/>
  <c r="U4" i="4"/>
  <c r="U5" i="4" s="1"/>
  <c r="Q4" i="4"/>
  <c r="Q15" i="4" s="1"/>
  <c r="Q16" i="4" s="1"/>
  <c r="M4" i="4"/>
  <c r="M15" i="4" s="1"/>
  <c r="M22" i="4" s="1"/>
  <c r="M24" i="4" s="1"/>
  <c r="M25" i="4" s="1"/>
  <c r="Q5" i="4"/>
  <c r="I4" i="4"/>
  <c r="I15" i="4" s="1"/>
  <c r="I16" i="4" s="1"/>
  <c r="E22" i="4"/>
  <c r="E24" i="4" s="1"/>
  <c r="E25" i="4" s="1"/>
  <c r="E16" i="4"/>
  <c r="E5" i="4"/>
  <c r="C17" i="5"/>
  <c r="D17" i="5"/>
  <c r="E17" i="5"/>
  <c r="F17" i="5"/>
  <c r="G17" i="5"/>
  <c r="H17" i="5"/>
  <c r="I17" i="5"/>
  <c r="K17" i="5"/>
  <c r="M17" i="5"/>
  <c r="N17" i="5"/>
  <c r="O17" i="5"/>
  <c r="P17" i="5"/>
  <c r="Q17" i="5"/>
  <c r="R17" i="5"/>
  <c r="S17" i="5"/>
  <c r="T17" i="5"/>
  <c r="U17" i="5"/>
  <c r="V17" i="5"/>
  <c r="B17" i="5"/>
  <c r="B24" i="14" l="1"/>
  <c r="L29" i="14"/>
  <c r="B30" i="14"/>
  <c r="C24" i="14"/>
  <c r="K30" i="14"/>
  <c r="T29" i="14"/>
  <c r="U29" i="14"/>
  <c r="V29" i="14"/>
  <c r="C29" i="14"/>
  <c r="M30" i="14"/>
  <c r="N30" i="14"/>
  <c r="D29" i="14"/>
  <c r="E29" i="14"/>
  <c r="F29" i="14"/>
  <c r="G30" i="14"/>
  <c r="H29" i="14"/>
  <c r="I29" i="14"/>
  <c r="J29" i="14"/>
  <c r="O29" i="14"/>
  <c r="P29" i="14"/>
  <c r="Q29" i="14"/>
  <c r="R29" i="14"/>
  <c r="S29" i="14"/>
  <c r="U15" i="4"/>
  <c r="Q22" i="4"/>
  <c r="Q24" i="4" s="1"/>
  <c r="Q25" i="4" s="1"/>
  <c r="M16" i="4"/>
  <c r="M5" i="4"/>
  <c r="I22" i="4"/>
  <c r="I24" i="4" s="1"/>
  <c r="U16" i="4" l="1"/>
  <c r="U22" i="4"/>
  <c r="U24" i="4" s="1"/>
  <c r="U25" i="4" s="1"/>
  <c r="V13" i="9" l="1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T7" i="6"/>
  <c r="R7" i="6"/>
  <c r="O7" i="6"/>
  <c r="N7" i="6"/>
  <c r="C7" i="6"/>
  <c r="P6" i="6"/>
  <c r="O6" i="6"/>
  <c r="D6" i="6"/>
  <c r="T5" i="6"/>
  <c r="P5" i="6"/>
  <c r="F5" i="6"/>
  <c r="E5" i="6"/>
  <c r="B5" i="6"/>
  <c r="R4" i="6"/>
  <c r="G4" i="6"/>
  <c r="F4" i="6"/>
  <c r="C4" i="6"/>
  <c r="V3" i="6"/>
  <c r="T3" i="6"/>
  <c r="S3" i="6"/>
  <c r="R3" i="6"/>
  <c r="G3" i="6"/>
  <c r="M45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V35" i="5"/>
  <c r="V10" i="8" s="1"/>
  <c r="U35" i="5"/>
  <c r="U10" i="8" s="1"/>
  <c r="T35" i="5"/>
  <c r="T10" i="8" s="1"/>
  <c r="S35" i="5"/>
  <c r="S10" i="8" s="1"/>
  <c r="R35" i="5"/>
  <c r="R10" i="8" s="1"/>
  <c r="Q35" i="5"/>
  <c r="Q10" i="8" s="1"/>
  <c r="P35" i="5"/>
  <c r="P10" i="8" s="1"/>
  <c r="O35" i="5"/>
  <c r="O10" i="8" s="1"/>
  <c r="N35" i="5"/>
  <c r="N10" i="8" s="1"/>
  <c r="M35" i="5"/>
  <c r="M10" i="8" s="1"/>
  <c r="L35" i="5"/>
  <c r="L10" i="8" s="1"/>
  <c r="K35" i="5"/>
  <c r="K10" i="8" s="1"/>
  <c r="J35" i="5"/>
  <c r="J10" i="8" s="1"/>
  <c r="I35" i="5"/>
  <c r="I10" i="8" s="1"/>
  <c r="H35" i="5"/>
  <c r="H10" i="8" s="1"/>
  <c r="G35" i="5"/>
  <c r="G10" i="8" s="1"/>
  <c r="F35" i="5"/>
  <c r="F10" i="8" s="1"/>
  <c r="E35" i="5"/>
  <c r="E10" i="8" s="1"/>
  <c r="D35" i="5"/>
  <c r="D10" i="8" s="1"/>
  <c r="C35" i="5"/>
  <c r="C10" i="8" s="1"/>
  <c r="B35" i="5"/>
  <c r="B10" i="8" s="1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H45" i="5" s="1"/>
  <c r="G34" i="5"/>
  <c r="F34" i="5"/>
  <c r="E34" i="5"/>
  <c r="D34" i="5"/>
  <c r="C34" i="5"/>
  <c r="B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V30" i="5"/>
  <c r="V31" i="5" s="1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V27" i="5"/>
  <c r="U27" i="5"/>
  <c r="U31" i="5" s="1"/>
  <c r="T27" i="5"/>
  <c r="S27" i="5"/>
  <c r="R27" i="5"/>
  <c r="Q27" i="5"/>
  <c r="P27" i="5"/>
  <c r="O27" i="5"/>
  <c r="N27" i="5"/>
  <c r="N45" i="5" s="1"/>
  <c r="M27" i="5"/>
  <c r="L27" i="5"/>
  <c r="K27" i="5"/>
  <c r="K31" i="5" s="1"/>
  <c r="J27" i="5"/>
  <c r="I27" i="5"/>
  <c r="H27" i="5"/>
  <c r="G27" i="5"/>
  <c r="F27" i="5"/>
  <c r="E27" i="5"/>
  <c r="D27" i="5"/>
  <c r="C27" i="5"/>
  <c r="B27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V15" i="5"/>
  <c r="V16" i="8" s="1"/>
  <c r="U15" i="5"/>
  <c r="U16" i="8" s="1"/>
  <c r="T15" i="5"/>
  <c r="T16" i="8" s="1"/>
  <c r="S15" i="5"/>
  <c r="S16" i="8" s="1"/>
  <c r="R15" i="5"/>
  <c r="R16" i="8" s="1"/>
  <c r="Q15" i="5"/>
  <c r="Q16" i="8" s="1"/>
  <c r="P15" i="5"/>
  <c r="P16" i="8" s="1"/>
  <c r="O15" i="5"/>
  <c r="O16" i="8" s="1"/>
  <c r="N15" i="5"/>
  <c r="N16" i="8" s="1"/>
  <c r="M15" i="5"/>
  <c r="M16" i="8" s="1"/>
  <c r="L15" i="5"/>
  <c r="L16" i="8" s="1"/>
  <c r="K15" i="5"/>
  <c r="K16" i="8" s="1"/>
  <c r="J15" i="5"/>
  <c r="J16" i="8" s="1"/>
  <c r="I15" i="5"/>
  <c r="I16" i="8" s="1"/>
  <c r="H15" i="5"/>
  <c r="H16" i="8" s="1"/>
  <c r="G15" i="5"/>
  <c r="G16" i="8" s="1"/>
  <c r="F15" i="5"/>
  <c r="F16" i="8" s="1"/>
  <c r="E15" i="5"/>
  <c r="E16" i="8" s="1"/>
  <c r="D15" i="5"/>
  <c r="D16" i="8" s="1"/>
  <c r="C15" i="5"/>
  <c r="C16" i="8" s="1"/>
  <c r="B15" i="5"/>
  <c r="B16" i="8" s="1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V12" i="5"/>
  <c r="V9" i="8" s="1"/>
  <c r="U12" i="5"/>
  <c r="U9" i="8" s="1"/>
  <c r="T12" i="5"/>
  <c r="T9" i="8" s="1"/>
  <c r="S12" i="5"/>
  <c r="S9" i="8" s="1"/>
  <c r="R12" i="5"/>
  <c r="R9" i="8" s="1"/>
  <c r="Q12" i="5"/>
  <c r="Q9" i="8" s="1"/>
  <c r="P12" i="5"/>
  <c r="P9" i="8" s="1"/>
  <c r="O12" i="5"/>
  <c r="O9" i="8" s="1"/>
  <c r="N12" i="5"/>
  <c r="N9" i="8" s="1"/>
  <c r="M12" i="5"/>
  <c r="M9" i="8" s="1"/>
  <c r="L12" i="5"/>
  <c r="L9" i="8" s="1"/>
  <c r="K12" i="5"/>
  <c r="K9" i="8" s="1"/>
  <c r="J12" i="5"/>
  <c r="J9" i="8" s="1"/>
  <c r="I12" i="5"/>
  <c r="I9" i="8" s="1"/>
  <c r="H12" i="5"/>
  <c r="H9" i="8" s="1"/>
  <c r="G12" i="5"/>
  <c r="G9" i="8" s="1"/>
  <c r="F12" i="5"/>
  <c r="F9" i="8" s="1"/>
  <c r="E12" i="5"/>
  <c r="E9" i="8" s="1"/>
  <c r="D12" i="5"/>
  <c r="D9" i="8" s="1"/>
  <c r="C12" i="5"/>
  <c r="C9" i="8" s="1"/>
  <c r="B12" i="5"/>
  <c r="B9" i="8" s="1"/>
  <c r="V11" i="5"/>
  <c r="U11" i="5"/>
  <c r="U8" i="8" s="1"/>
  <c r="T11" i="5"/>
  <c r="T8" i="8" s="1"/>
  <c r="S11" i="5"/>
  <c r="S8" i="8" s="1"/>
  <c r="R11" i="5"/>
  <c r="R8" i="8" s="1"/>
  <c r="Q11" i="5"/>
  <c r="Q8" i="8" s="1"/>
  <c r="P11" i="5"/>
  <c r="P8" i="8" s="1"/>
  <c r="O11" i="5"/>
  <c r="O8" i="8" s="1"/>
  <c r="N11" i="5"/>
  <c r="N8" i="8" s="1"/>
  <c r="M11" i="5"/>
  <c r="M8" i="8" s="1"/>
  <c r="L11" i="5"/>
  <c r="K11" i="5"/>
  <c r="K8" i="8" s="1"/>
  <c r="J11" i="5"/>
  <c r="I11" i="5"/>
  <c r="I8" i="8" s="1"/>
  <c r="H11" i="5"/>
  <c r="H8" i="8" s="1"/>
  <c r="G11" i="5"/>
  <c r="G8" i="8" s="1"/>
  <c r="F11" i="5"/>
  <c r="F8" i="8" s="1"/>
  <c r="E11" i="5"/>
  <c r="E8" i="8" s="1"/>
  <c r="D11" i="5"/>
  <c r="D8" i="8" s="1"/>
  <c r="C11" i="5"/>
  <c r="B11" i="5"/>
  <c r="V8" i="5"/>
  <c r="U8" i="5"/>
  <c r="T8" i="5"/>
  <c r="S8" i="5"/>
  <c r="R8" i="5"/>
  <c r="Q8" i="5"/>
  <c r="P8" i="5"/>
  <c r="O8" i="5"/>
  <c r="N8" i="5"/>
  <c r="M8" i="5"/>
  <c r="L8" i="5"/>
  <c r="K8" i="5"/>
  <c r="I8" i="5"/>
  <c r="H8" i="5"/>
  <c r="G8" i="5"/>
  <c r="F8" i="5"/>
  <c r="E8" i="5"/>
  <c r="D8" i="5"/>
  <c r="C8" i="5"/>
  <c r="B8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V7" i="3"/>
  <c r="V10" i="6" s="1"/>
  <c r="U7" i="3"/>
  <c r="U10" i="6" s="1"/>
  <c r="T7" i="3"/>
  <c r="T10" i="6" s="1"/>
  <c r="S7" i="3"/>
  <c r="S10" i="6" s="1"/>
  <c r="R7" i="3"/>
  <c r="R10" i="6" s="1"/>
  <c r="Q7" i="3"/>
  <c r="Q10" i="6" s="1"/>
  <c r="P7" i="3"/>
  <c r="P10" i="6" s="1"/>
  <c r="O7" i="3"/>
  <c r="O10" i="6" s="1"/>
  <c r="N7" i="3"/>
  <c r="N10" i="6" s="1"/>
  <c r="M7" i="3"/>
  <c r="M10" i="6" s="1"/>
  <c r="L7" i="3"/>
  <c r="L10" i="6" s="1"/>
  <c r="K7" i="3"/>
  <c r="K10" i="6" s="1"/>
  <c r="J7" i="3"/>
  <c r="J10" i="6" s="1"/>
  <c r="I7" i="3"/>
  <c r="I10" i="6" s="1"/>
  <c r="H7" i="3"/>
  <c r="H10" i="6" s="1"/>
  <c r="G7" i="3"/>
  <c r="G10" i="6" s="1"/>
  <c r="F7" i="3"/>
  <c r="F10" i="6" s="1"/>
  <c r="E7" i="3"/>
  <c r="E10" i="6" s="1"/>
  <c r="D7" i="3"/>
  <c r="D10" i="6" s="1"/>
  <c r="C7" i="3"/>
  <c r="C10" i="6" s="1"/>
  <c r="B7" i="3"/>
  <c r="B10" i="6" s="1"/>
  <c r="V6" i="3"/>
  <c r="V7" i="6" s="1"/>
  <c r="U6" i="3"/>
  <c r="U7" i="6" s="1"/>
  <c r="T6" i="3"/>
  <c r="S6" i="3"/>
  <c r="S7" i="6" s="1"/>
  <c r="R6" i="3"/>
  <c r="Q6" i="3"/>
  <c r="Q7" i="6" s="1"/>
  <c r="P6" i="3"/>
  <c r="P7" i="6" s="1"/>
  <c r="O6" i="3"/>
  <c r="N6" i="3"/>
  <c r="M6" i="3"/>
  <c r="M7" i="6" s="1"/>
  <c r="L6" i="3"/>
  <c r="L7" i="6" s="1"/>
  <c r="K6" i="3"/>
  <c r="K7" i="6" s="1"/>
  <c r="J6" i="3"/>
  <c r="J7" i="6" s="1"/>
  <c r="I6" i="3"/>
  <c r="I7" i="6" s="1"/>
  <c r="H6" i="3"/>
  <c r="H7" i="6" s="1"/>
  <c r="G6" i="3"/>
  <c r="G7" i="6" s="1"/>
  <c r="F6" i="3"/>
  <c r="F7" i="6" s="1"/>
  <c r="E6" i="3"/>
  <c r="E7" i="6" s="1"/>
  <c r="D6" i="3"/>
  <c r="D7" i="6" s="1"/>
  <c r="C6" i="3"/>
  <c r="B6" i="3"/>
  <c r="B7" i="6" s="1"/>
  <c r="V5" i="3"/>
  <c r="V6" i="6" s="1"/>
  <c r="U5" i="3"/>
  <c r="U6" i="6" s="1"/>
  <c r="T5" i="3"/>
  <c r="T6" i="6" s="1"/>
  <c r="S5" i="3"/>
  <c r="S6" i="6" s="1"/>
  <c r="R5" i="3"/>
  <c r="R6" i="6" s="1"/>
  <c r="Q5" i="3"/>
  <c r="Q6" i="6" s="1"/>
  <c r="P5" i="3"/>
  <c r="O5" i="3"/>
  <c r="N5" i="3"/>
  <c r="N6" i="6" s="1"/>
  <c r="M5" i="3"/>
  <c r="M6" i="6" s="1"/>
  <c r="L5" i="3"/>
  <c r="L6" i="6" s="1"/>
  <c r="K5" i="3"/>
  <c r="K6" i="6" s="1"/>
  <c r="J5" i="3"/>
  <c r="J6" i="6" s="1"/>
  <c r="I5" i="3"/>
  <c r="I6" i="6" s="1"/>
  <c r="H5" i="3"/>
  <c r="H6" i="6" s="1"/>
  <c r="G5" i="3"/>
  <c r="G6" i="6" s="1"/>
  <c r="F5" i="3"/>
  <c r="F6" i="6" s="1"/>
  <c r="E5" i="3"/>
  <c r="E6" i="6" s="1"/>
  <c r="D5" i="3"/>
  <c r="C5" i="3"/>
  <c r="C6" i="6" s="1"/>
  <c r="B5" i="3"/>
  <c r="B6" i="6" s="1"/>
  <c r="V4" i="3"/>
  <c r="V5" i="6" s="1"/>
  <c r="U4" i="3"/>
  <c r="U5" i="6" s="1"/>
  <c r="T4" i="3"/>
  <c r="S4" i="3"/>
  <c r="S5" i="6" s="1"/>
  <c r="R4" i="3"/>
  <c r="R5" i="6" s="1"/>
  <c r="Q4" i="3"/>
  <c r="Q5" i="6" s="1"/>
  <c r="P4" i="3"/>
  <c r="O4" i="3"/>
  <c r="O5" i="6" s="1"/>
  <c r="N4" i="3"/>
  <c r="N5" i="6" s="1"/>
  <c r="M4" i="3"/>
  <c r="M5" i="6" s="1"/>
  <c r="L4" i="3"/>
  <c r="L5" i="6" s="1"/>
  <c r="K4" i="3"/>
  <c r="K5" i="6" s="1"/>
  <c r="J4" i="3"/>
  <c r="J5" i="6" s="1"/>
  <c r="I4" i="3"/>
  <c r="I5" i="6" s="1"/>
  <c r="H4" i="3"/>
  <c r="H5" i="6" s="1"/>
  <c r="G4" i="3"/>
  <c r="G5" i="6" s="1"/>
  <c r="F4" i="3"/>
  <c r="E4" i="3"/>
  <c r="D4" i="3"/>
  <c r="D5" i="6" s="1"/>
  <c r="C4" i="3"/>
  <c r="C5" i="6" s="1"/>
  <c r="B4" i="3"/>
  <c r="V3" i="3"/>
  <c r="V4" i="6" s="1"/>
  <c r="U3" i="3"/>
  <c r="U4" i="6" s="1"/>
  <c r="T3" i="3"/>
  <c r="T4" i="6" s="1"/>
  <c r="S3" i="3"/>
  <c r="S4" i="6" s="1"/>
  <c r="R3" i="3"/>
  <c r="Q3" i="3"/>
  <c r="Q4" i="6" s="1"/>
  <c r="P3" i="3"/>
  <c r="P4" i="6" s="1"/>
  <c r="O3" i="3"/>
  <c r="O4" i="6" s="1"/>
  <c r="N3" i="3"/>
  <c r="N4" i="6" s="1"/>
  <c r="M3" i="3"/>
  <c r="M4" i="6" s="1"/>
  <c r="L3" i="3"/>
  <c r="L4" i="6" s="1"/>
  <c r="K3" i="3"/>
  <c r="K4" i="6" s="1"/>
  <c r="J3" i="3"/>
  <c r="J4" i="6" s="1"/>
  <c r="I3" i="3"/>
  <c r="I4" i="6" s="1"/>
  <c r="H3" i="3"/>
  <c r="H4" i="6" s="1"/>
  <c r="G3" i="3"/>
  <c r="F3" i="3"/>
  <c r="E3" i="3"/>
  <c r="E4" i="6" s="1"/>
  <c r="D3" i="3"/>
  <c r="D4" i="6" s="1"/>
  <c r="C3" i="3"/>
  <c r="B3" i="3"/>
  <c r="B4" i="6" s="1"/>
  <c r="V2" i="3"/>
  <c r="U2" i="3"/>
  <c r="U3" i="6" s="1"/>
  <c r="T2" i="3"/>
  <c r="S2" i="3"/>
  <c r="R2" i="3"/>
  <c r="Q2" i="3"/>
  <c r="Q3" i="6" s="1"/>
  <c r="P2" i="3"/>
  <c r="P3" i="6" s="1"/>
  <c r="O2" i="3"/>
  <c r="O3" i="6" s="1"/>
  <c r="N2" i="3"/>
  <c r="N3" i="6" s="1"/>
  <c r="M2" i="3"/>
  <c r="M3" i="6" s="1"/>
  <c r="L2" i="3"/>
  <c r="L3" i="6" s="1"/>
  <c r="K2" i="3"/>
  <c r="K3" i="6" s="1"/>
  <c r="J2" i="3"/>
  <c r="J3" i="6" s="1"/>
  <c r="I2" i="3"/>
  <c r="I3" i="6" s="1"/>
  <c r="H2" i="3"/>
  <c r="H3" i="6" s="1"/>
  <c r="G2" i="3"/>
  <c r="F2" i="3"/>
  <c r="F3" i="6" s="1"/>
  <c r="E2" i="3"/>
  <c r="E3" i="6" s="1"/>
  <c r="D2" i="3"/>
  <c r="D3" i="6" s="1"/>
  <c r="C2" i="3"/>
  <c r="C3" i="6" s="1"/>
  <c r="B2" i="3"/>
  <c r="B3" i="6" s="1"/>
  <c r="V19" i="1"/>
  <c r="U19" i="1"/>
  <c r="T19" i="1"/>
  <c r="T28" i="4" s="1"/>
  <c r="S19" i="1"/>
  <c r="S28" i="4" s="1"/>
  <c r="R19" i="1"/>
  <c r="R28" i="4" s="1"/>
  <c r="Q19" i="1"/>
  <c r="P19" i="1"/>
  <c r="O19" i="1"/>
  <c r="O28" i="4" s="1"/>
  <c r="N19" i="1"/>
  <c r="N28" i="4" s="1"/>
  <c r="M19" i="1"/>
  <c r="L19" i="1"/>
  <c r="L28" i="4" s="1"/>
  <c r="K19" i="1"/>
  <c r="K28" i="4" s="1"/>
  <c r="J19" i="1"/>
  <c r="J28" i="4" s="1"/>
  <c r="I19" i="1"/>
  <c r="H19" i="1"/>
  <c r="H28" i="4" s="1"/>
  <c r="G19" i="1"/>
  <c r="F19" i="1"/>
  <c r="E19" i="1"/>
  <c r="D19" i="1"/>
  <c r="C19" i="1"/>
  <c r="C28" i="4" s="1"/>
  <c r="B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V16" i="1"/>
  <c r="V23" i="4" s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V15" i="1"/>
  <c r="V21" i="4" s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21" i="4" s="1"/>
  <c r="V14" i="1"/>
  <c r="V20" i="4" s="1"/>
  <c r="U14" i="1"/>
  <c r="T14" i="1"/>
  <c r="T20" i="4" s="1"/>
  <c r="S14" i="1"/>
  <c r="R14" i="1"/>
  <c r="Q14" i="1"/>
  <c r="P14" i="1"/>
  <c r="P20" i="4" s="1"/>
  <c r="O14" i="1"/>
  <c r="O20" i="4" s="1"/>
  <c r="N14" i="1"/>
  <c r="N20" i="4" s="1"/>
  <c r="M14" i="1"/>
  <c r="L14" i="1"/>
  <c r="L20" i="4" s="1"/>
  <c r="K14" i="1"/>
  <c r="J14" i="1"/>
  <c r="I14" i="1"/>
  <c r="H14" i="1"/>
  <c r="G14" i="1"/>
  <c r="F14" i="1"/>
  <c r="F20" i="4" s="1"/>
  <c r="E14" i="1"/>
  <c r="D14" i="1"/>
  <c r="D20" i="4" s="1"/>
  <c r="C14" i="1"/>
  <c r="C20" i="4" s="1"/>
  <c r="B14" i="1"/>
  <c r="B20" i="4" s="1"/>
  <c r="V13" i="1"/>
  <c r="V19" i="4" s="1"/>
  <c r="U13" i="1"/>
  <c r="T13" i="1"/>
  <c r="T19" i="4" s="1"/>
  <c r="S13" i="1"/>
  <c r="S19" i="4" s="1"/>
  <c r="R13" i="1"/>
  <c r="R19" i="4" s="1"/>
  <c r="Q13" i="1"/>
  <c r="P13" i="1"/>
  <c r="P19" i="4" s="1"/>
  <c r="O13" i="1"/>
  <c r="O19" i="4" s="1"/>
  <c r="N13" i="1"/>
  <c r="N19" i="4" s="1"/>
  <c r="M13" i="1"/>
  <c r="L13" i="1"/>
  <c r="L19" i="4" s="1"/>
  <c r="K13" i="1"/>
  <c r="K19" i="4" s="1"/>
  <c r="J13" i="1"/>
  <c r="J19" i="4" s="1"/>
  <c r="I13" i="1"/>
  <c r="H13" i="1"/>
  <c r="H19" i="4" s="1"/>
  <c r="G13" i="1"/>
  <c r="G19" i="4" s="1"/>
  <c r="F13" i="1"/>
  <c r="F19" i="4" s="1"/>
  <c r="E13" i="1"/>
  <c r="D13" i="1"/>
  <c r="D19" i="4" s="1"/>
  <c r="C13" i="1"/>
  <c r="C19" i="4" s="1"/>
  <c r="B13" i="1"/>
  <c r="B19" i="4" s="1"/>
  <c r="V12" i="1"/>
  <c r="V18" i="4" s="1"/>
  <c r="U12" i="1"/>
  <c r="T12" i="1"/>
  <c r="T18" i="4" s="1"/>
  <c r="S12" i="1"/>
  <c r="S18" i="4" s="1"/>
  <c r="R12" i="1"/>
  <c r="Q12" i="1"/>
  <c r="P12" i="1"/>
  <c r="P18" i="4" s="1"/>
  <c r="O12" i="1"/>
  <c r="O18" i="4" s="1"/>
  <c r="N12" i="1"/>
  <c r="N18" i="4" s="1"/>
  <c r="M12" i="1"/>
  <c r="L12" i="1"/>
  <c r="L18" i="4" s="1"/>
  <c r="K12" i="1"/>
  <c r="K18" i="4" s="1"/>
  <c r="J12" i="1"/>
  <c r="J18" i="4" s="1"/>
  <c r="I12" i="1"/>
  <c r="H12" i="1"/>
  <c r="H18" i="4" s="1"/>
  <c r="G12" i="1"/>
  <c r="G18" i="4" s="1"/>
  <c r="F12" i="1"/>
  <c r="F18" i="4" s="1"/>
  <c r="E12" i="1"/>
  <c r="D12" i="1"/>
  <c r="D18" i="4" s="1"/>
  <c r="C12" i="1"/>
  <c r="C18" i="4" s="1"/>
  <c r="B12" i="1"/>
  <c r="B18" i="4" s="1"/>
  <c r="V11" i="1"/>
  <c r="V14" i="4" s="1"/>
  <c r="U11" i="1"/>
  <c r="T11" i="1"/>
  <c r="S11" i="1"/>
  <c r="R11" i="1"/>
  <c r="Q11" i="1"/>
  <c r="P11" i="1"/>
  <c r="P14" i="4" s="1"/>
  <c r="O11" i="1"/>
  <c r="N11" i="1"/>
  <c r="M11" i="1"/>
  <c r="L11" i="1"/>
  <c r="K11" i="1"/>
  <c r="J11" i="1"/>
  <c r="I11" i="1"/>
  <c r="H11" i="1"/>
  <c r="G11" i="1"/>
  <c r="G14" i="4" s="1"/>
  <c r="F11" i="1"/>
  <c r="F14" i="4" s="1"/>
  <c r="E11" i="1"/>
  <c r="D11" i="1"/>
  <c r="D14" i="4" s="1"/>
  <c r="C11" i="1"/>
  <c r="C14" i="4" s="1"/>
  <c r="B11" i="1"/>
  <c r="B14" i="4" s="1"/>
  <c r="V10" i="1"/>
  <c r="V13" i="4" s="1"/>
  <c r="U10" i="1"/>
  <c r="T10" i="1"/>
  <c r="S10" i="1"/>
  <c r="R10" i="1"/>
  <c r="Q10" i="1"/>
  <c r="P10" i="1"/>
  <c r="P13" i="4" s="1"/>
  <c r="O10" i="1"/>
  <c r="N10" i="1"/>
  <c r="M10" i="1"/>
  <c r="L10" i="1"/>
  <c r="K10" i="1"/>
  <c r="J10" i="1"/>
  <c r="J13" i="4" s="1"/>
  <c r="I10" i="1"/>
  <c r="H10" i="1"/>
  <c r="H13" i="4" s="1"/>
  <c r="G10" i="1"/>
  <c r="G13" i="4" s="1"/>
  <c r="F10" i="1"/>
  <c r="F13" i="4" s="1"/>
  <c r="E10" i="1"/>
  <c r="D10" i="1"/>
  <c r="D13" i="4" s="1"/>
  <c r="C10" i="1"/>
  <c r="C13" i="4" s="1"/>
  <c r="B10" i="1"/>
  <c r="B13" i="4" s="1"/>
  <c r="V9" i="1"/>
  <c r="V17" i="4" s="1"/>
  <c r="U9" i="1"/>
  <c r="T9" i="1"/>
  <c r="T17" i="4" s="1"/>
  <c r="S9" i="1"/>
  <c r="R9" i="1"/>
  <c r="R12" i="4" s="1"/>
  <c r="Q9" i="1"/>
  <c r="P9" i="1"/>
  <c r="P17" i="4" s="1"/>
  <c r="O9" i="1"/>
  <c r="O17" i="4" s="1"/>
  <c r="N9" i="1"/>
  <c r="N17" i="4" s="1"/>
  <c r="M9" i="1"/>
  <c r="L9" i="1"/>
  <c r="L12" i="4" s="1"/>
  <c r="K9" i="1"/>
  <c r="K12" i="4" s="1"/>
  <c r="J9" i="1"/>
  <c r="J12" i="4" s="1"/>
  <c r="I9" i="1"/>
  <c r="H9" i="1"/>
  <c r="H17" i="4" s="1"/>
  <c r="G9" i="1"/>
  <c r="G17" i="4" s="1"/>
  <c r="F9" i="1"/>
  <c r="F12" i="4" s="1"/>
  <c r="E9" i="1"/>
  <c r="D9" i="1"/>
  <c r="D12" i="4" s="1"/>
  <c r="C9" i="1"/>
  <c r="C17" i="4" s="1"/>
  <c r="B9" i="1"/>
  <c r="B17" i="4" s="1"/>
  <c r="V8" i="1"/>
  <c r="V11" i="4" s="1"/>
  <c r="U8" i="1"/>
  <c r="T8" i="1"/>
  <c r="S8" i="1"/>
  <c r="S11" i="4" s="1"/>
  <c r="R8" i="1"/>
  <c r="R11" i="4" s="1"/>
  <c r="Q8" i="1"/>
  <c r="P8" i="1"/>
  <c r="P11" i="4" s="1"/>
  <c r="O8" i="1"/>
  <c r="O11" i="4" s="1"/>
  <c r="N8" i="1"/>
  <c r="N11" i="4" s="1"/>
  <c r="M8" i="1"/>
  <c r="L8" i="1"/>
  <c r="K8" i="1"/>
  <c r="J8" i="1"/>
  <c r="I8" i="1"/>
  <c r="H8" i="1"/>
  <c r="G8" i="1"/>
  <c r="G11" i="4" s="1"/>
  <c r="F8" i="1"/>
  <c r="F11" i="4" s="1"/>
  <c r="E8" i="1"/>
  <c r="D8" i="1"/>
  <c r="D11" i="4" s="1"/>
  <c r="C8" i="1"/>
  <c r="C11" i="4" s="1"/>
  <c r="B8" i="1"/>
  <c r="B11" i="4" s="1"/>
  <c r="V7" i="1"/>
  <c r="V10" i="4" s="1"/>
  <c r="U7" i="1"/>
  <c r="T7" i="1"/>
  <c r="S7" i="1"/>
  <c r="S10" i="4" s="1"/>
  <c r="R7" i="1"/>
  <c r="R10" i="4" s="1"/>
  <c r="Q7" i="1"/>
  <c r="P7" i="1"/>
  <c r="P10" i="4" s="1"/>
  <c r="O7" i="1"/>
  <c r="O10" i="4" s="1"/>
  <c r="N7" i="1"/>
  <c r="N10" i="4" s="1"/>
  <c r="M7" i="1"/>
  <c r="L7" i="1"/>
  <c r="L10" i="4" s="1"/>
  <c r="K7" i="1"/>
  <c r="J7" i="1"/>
  <c r="I7" i="1"/>
  <c r="H7" i="1"/>
  <c r="H10" i="4" s="1"/>
  <c r="G7" i="1"/>
  <c r="G10" i="4" s="1"/>
  <c r="F7" i="1"/>
  <c r="F10" i="4" s="1"/>
  <c r="E7" i="1"/>
  <c r="D7" i="1"/>
  <c r="D10" i="4" s="1"/>
  <c r="C7" i="1"/>
  <c r="C10" i="4" s="1"/>
  <c r="B7" i="1"/>
  <c r="B10" i="4" s="1"/>
  <c r="V6" i="1"/>
  <c r="V9" i="4" s="1"/>
  <c r="U6" i="1"/>
  <c r="T6" i="1"/>
  <c r="T9" i="4" s="1"/>
  <c r="S6" i="1"/>
  <c r="R6" i="1"/>
  <c r="Q6" i="1"/>
  <c r="P6" i="1"/>
  <c r="P9" i="4" s="1"/>
  <c r="O6" i="1"/>
  <c r="O9" i="4" s="1"/>
  <c r="N6" i="1"/>
  <c r="N9" i="4" s="1"/>
  <c r="M6" i="1"/>
  <c r="L6" i="1"/>
  <c r="K6" i="1"/>
  <c r="J6" i="1"/>
  <c r="I6" i="1"/>
  <c r="H6" i="1"/>
  <c r="H9" i="4" s="1"/>
  <c r="G6" i="1"/>
  <c r="G9" i="4" s="1"/>
  <c r="F6" i="1"/>
  <c r="F9" i="4" s="1"/>
  <c r="E6" i="1"/>
  <c r="D6" i="1"/>
  <c r="D9" i="4" s="1"/>
  <c r="C6" i="1"/>
  <c r="C9" i="4" s="1"/>
  <c r="B6" i="1"/>
  <c r="B9" i="4" s="1"/>
  <c r="V5" i="1"/>
  <c r="V8" i="4" s="1"/>
  <c r="U5" i="1"/>
  <c r="T5" i="1"/>
  <c r="T8" i="4" s="1"/>
  <c r="S5" i="1"/>
  <c r="R5" i="1"/>
  <c r="Q5" i="1"/>
  <c r="P5" i="1"/>
  <c r="P8" i="4" s="1"/>
  <c r="O5" i="1"/>
  <c r="N5" i="1"/>
  <c r="N8" i="4" s="1"/>
  <c r="M5" i="1"/>
  <c r="L5" i="1"/>
  <c r="L8" i="4" s="1"/>
  <c r="K5" i="1"/>
  <c r="K8" i="4" s="1"/>
  <c r="J5" i="1"/>
  <c r="J8" i="4" s="1"/>
  <c r="I5" i="1"/>
  <c r="H5" i="1"/>
  <c r="G5" i="1"/>
  <c r="G8" i="4" s="1"/>
  <c r="F5" i="1"/>
  <c r="F8" i="4" s="1"/>
  <c r="E5" i="1"/>
  <c r="D5" i="1"/>
  <c r="D8" i="4" s="1"/>
  <c r="C5" i="1"/>
  <c r="C8" i="4" s="1"/>
  <c r="B5" i="1"/>
  <c r="B8" i="4" s="1"/>
  <c r="V4" i="1"/>
  <c r="V7" i="4" s="1"/>
  <c r="U4" i="1"/>
  <c r="T4" i="1"/>
  <c r="T7" i="4" s="1"/>
  <c r="S4" i="1"/>
  <c r="R4" i="1"/>
  <c r="Q4" i="1"/>
  <c r="P4" i="1"/>
  <c r="P7" i="4" s="1"/>
  <c r="O4" i="1"/>
  <c r="O7" i="4" s="1"/>
  <c r="N4" i="1"/>
  <c r="N7" i="4" s="1"/>
  <c r="M4" i="1"/>
  <c r="L4" i="1"/>
  <c r="L7" i="4" s="1"/>
  <c r="K4" i="1"/>
  <c r="K7" i="4" s="1"/>
  <c r="J4" i="1"/>
  <c r="J7" i="4" s="1"/>
  <c r="I4" i="1"/>
  <c r="H4" i="1"/>
  <c r="G4" i="1"/>
  <c r="G7" i="4" s="1"/>
  <c r="F4" i="1"/>
  <c r="F7" i="4" s="1"/>
  <c r="E4" i="1"/>
  <c r="D4" i="1"/>
  <c r="D7" i="4" s="1"/>
  <c r="C4" i="1"/>
  <c r="C7" i="4" s="1"/>
  <c r="B4" i="1"/>
  <c r="B7" i="4" s="1"/>
  <c r="V3" i="1"/>
  <c r="V3" i="4" s="1"/>
  <c r="V7" i="8" s="1"/>
  <c r="U3" i="1"/>
  <c r="U7" i="8" s="1"/>
  <c r="T3" i="1"/>
  <c r="T3" i="4" s="1"/>
  <c r="T7" i="8" s="1"/>
  <c r="S3" i="1"/>
  <c r="S3" i="4" s="1"/>
  <c r="S7" i="8" s="1"/>
  <c r="R3" i="1"/>
  <c r="R3" i="4" s="1"/>
  <c r="R7" i="8" s="1"/>
  <c r="Q3" i="1"/>
  <c r="Q7" i="8" s="1"/>
  <c r="P3" i="1"/>
  <c r="P3" i="4" s="1"/>
  <c r="P7" i="8" s="1"/>
  <c r="O3" i="1"/>
  <c r="O3" i="4" s="1"/>
  <c r="O7" i="8" s="1"/>
  <c r="N3" i="1"/>
  <c r="N3" i="4" s="1"/>
  <c r="N7" i="8" s="1"/>
  <c r="M3" i="1"/>
  <c r="M7" i="8" s="1"/>
  <c r="L3" i="1"/>
  <c r="L7" i="8" s="1"/>
  <c r="K3" i="1"/>
  <c r="K7" i="8" s="1"/>
  <c r="J3" i="1"/>
  <c r="J7" i="8" s="1"/>
  <c r="I3" i="1"/>
  <c r="I7" i="8" s="1"/>
  <c r="H3" i="1"/>
  <c r="H3" i="4" s="1"/>
  <c r="H7" i="8" s="1"/>
  <c r="G3" i="1"/>
  <c r="G3" i="4" s="1"/>
  <c r="G7" i="8" s="1"/>
  <c r="F3" i="1"/>
  <c r="F3" i="4" s="1"/>
  <c r="F7" i="8" s="1"/>
  <c r="E3" i="1"/>
  <c r="E7" i="8" s="1"/>
  <c r="D3" i="1"/>
  <c r="D3" i="4" s="1"/>
  <c r="D7" i="8" s="1"/>
  <c r="C3" i="1"/>
  <c r="C3" i="4" s="1"/>
  <c r="C7" i="8" s="1"/>
  <c r="B3" i="1"/>
  <c r="B3" i="4" s="1"/>
  <c r="V2" i="1"/>
  <c r="V2" i="4" s="1"/>
  <c r="U2" i="1"/>
  <c r="T2" i="1"/>
  <c r="T2" i="4" s="1"/>
  <c r="S2" i="1"/>
  <c r="S2" i="4" s="1"/>
  <c r="R2" i="1"/>
  <c r="R2" i="4" s="1"/>
  <c r="Q2" i="1"/>
  <c r="P2" i="1"/>
  <c r="P2" i="4" s="1"/>
  <c r="O2" i="1"/>
  <c r="O2" i="4" s="1"/>
  <c r="N2" i="1"/>
  <c r="N2" i="4" s="1"/>
  <c r="M2" i="1"/>
  <c r="L2" i="1"/>
  <c r="L2" i="4" s="1"/>
  <c r="K2" i="1"/>
  <c r="K2" i="4" s="1"/>
  <c r="J2" i="1"/>
  <c r="J2" i="4" s="1"/>
  <c r="I2" i="1"/>
  <c r="H2" i="1"/>
  <c r="G2" i="1"/>
  <c r="G2" i="4" s="1"/>
  <c r="F2" i="1"/>
  <c r="F2" i="4" s="1"/>
  <c r="E2" i="1"/>
  <c r="D2" i="1"/>
  <c r="D2" i="4" s="1"/>
  <c r="C2" i="1"/>
  <c r="C2" i="4" s="1"/>
  <c r="B2" i="1"/>
  <c r="B2" i="4" s="1"/>
  <c r="B7" i="8" l="1"/>
  <c r="B13" i="8" s="1"/>
  <c r="R25" i="5"/>
  <c r="S25" i="5"/>
  <c r="I45" i="5"/>
  <c r="O9" i="5"/>
  <c r="T31" i="5"/>
  <c r="S31" i="5"/>
  <c r="B31" i="5"/>
  <c r="D16" i="5"/>
  <c r="F25" i="5"/>
  <c r="S9" i="5"/>
  <c r="T9" i="5"/>
  <c r="I25" i="5"/>
  <c r="Q16" i="5"/>
  <c r="G25" i="5"/>
  <c r="M16" i="5"/>
  <c r="D31" i="5"/>
  <c r="C31" i="5"/>
  <c r="C9" i="5"/>
  <c r="D9" i="5"/>
  <c r="T45" i="5"/>
  <c r="E9" i="5"/>
  <c r="C45" i="5"/>
  <c r="P25" i="5"/>
  <c r="E25" i="5"/>
  <c r="M15" i="8"/>
  <c r="M17" i="8" s="1"/>
  <c r="J25" i="5"/>
  <c r="Q25" i="5"/>
  <c r="H9" i="5"/>
  <c r="G9" i="5"/>
  <c r="F9" i="5"/>
  <c r="L25" i="5"/>
  <c r="K25" i="5"/>
  <c r="H25" i="5"/>
  <c r="E31" i="5"/>
  <c r="F31" i="5"/>
  <c r="G45" i="5"/>
  <c r="G31" i="5"/>
  <c r="M25" i="5"/>
  <c r="H31" i="5"/>
  <c r="S15" i="8"/>
  <c r="S17" i="8" s="1"/>
  <c r="R45" i="5"/>
  <c r="K9" i="5"/>
  <c r="J9" i="5"/>
  <c r="J17" i="5" s="1"/>
  <c r="P9" i="5"/>
  <c r="O16" i="5"/>
  <c r="O10" i="9" s="1"/>
  <c r="T25" i="5"/>
  <c r="L9" i="5"/>
  <c r="M9" i="5"/>
  <c r="G16" i="5"/>
  <c r="R9" i="5"/>
  <c r="Q9" i="5"/>
  <c r="I16" i="5"/>
  <c r="B25" i="5"/>
  <c r="V25" i="5"/>
  <c r="U25" i="5"/>
  <c r="N31" i="5"/>
  <c r="M31" i="5"/>
  <c r="L31" i="5"/>
  <c r="C25" i="5"/>
  <c r="Q31" i="5"/>
  <c r="P31" i="5"/>
  <c r="R31" i="5"/>
  <c r="B9" i="5"/>
  <c r="V9" i="5"/>
  <c r="U9" i="5"/>
  <c r="K8" i="6"/>
  <c r="K6" i="8"/>
  <c r="K12" i="8" s="1"/>
  <c r="K4" i="4"/>
  <c r="Q8" i="6"/>
  <c r="P6" i="8"/>
  <c r="P12" i="8" s="1"/>
  <c r="P4" i="4"/>
  <c r="L6" i="8"/>
  <c r="L12" i="8" s="1"/>
  <c r="L4" i="4"/>
  <c r="L5" i="4" s="1"/>
  <c r="O6" i="8"/>
  <c r="O12" i="8" s="1"/>
  <c r="O4" i="4"/>
  <c r="P9" i="6"/>
  <c r="P11" i="6" s="1"/>
  <c r="P12" i="9" s="1"/>
  <c r="J6" i="8"/>
  <c r="J12" i="8" s="1"/>
  <c r="J4" i="4"/>
  <c r="L8" i="6"/>
  <c r="L9" i="6" s="1"/>
  <c r="L11" i="6" s="1"/>
  <c r="L12" i="9" s="1"/>
  <c r="N8" i="6"/>
  <c r="N6" i="8"/>
  <c r="N12" i="8" s="1"/>
  <c r="N4" i="4"/>
  <c r="Q6" i="8"/>
  <c r="Q12" i="8" s="1"/>
  <c r="R6" i="8"/>
  <c r="R12" i="8" s="1"/>
  <c r="R4" i="4"/>
  <c r="S6" i="8"/>
  <c r="S12" i="8" s="1"/>
  <c r="S4" i="4"/>
  <c r="M8" i="6"/>
  <c r="M9" i="6" s="1"/>
  <c r="M11" i="6" s="1"/>
  <c r="M12" i="9" s="1"/>
  <c r="U6" i="8"/>
  <c r="U12" i="8" s="1"/>
  <c r="D8" i="6"/>
  <c r="D9" i="6" s="1"/>
  <c r="D11" i="6" s="1"/>
  <c r="D12" i="9" s="1"/>
  <c r="I6" i="8"/>
  <c r="I12" i="8" s="1"/>
  <c r="M6" i="8"/>
  <c r="M12" i="8" s="1"/>
  <c r="T6" i="8"/>
  <c r="T12" i="8" s="1"/>
  <c r="T4" i="4"/>
  <c r="B8" i="6"/>
  <c r="B9" i="6" s="1"/>
  <c r="B11" i="6" s="1"/>
  <c r="B12" i="9" s="1"/>
  <c r="B6" i="8"/>
  <c r="B12" i="8" s="1"/>
  <c r="B4" i="4"/>
  <c r="B5" i="4" s="1"/>
  <c r="V6" i="8"/>
  <c r="V12" i="8" s="1"/>
  <c r="V4" i="4"/>
  <c r="C6" i="8"/>
  <c r="C12" i="8" s="1"/>
  <c r="C4" i="4"/>
  <c r="D6" i="8"/>
  <c r="D12" i="8" s="1"/>
  <c r="D4" i="4"/>
  <c r="F8" i="6"/>
  <c r="F9" i="6" s="1"/>
  <c r="F11" i="6" s="1"/>
  <c r="F12" i="9" s="1"/>
  <c r="E6" i="8"/>
  <c r="E12" i="8" s="1"/>
  <c r="F6" i="8"/>
  <c r="F12" i="8" s="1"/>
  <c r="F4" i="4"/>
  <c r="H8" i="6"/>
  <c r="H9" i="6" s="1"/>
  <c r="H11" i="6" s="1"/>
  <c r="H12" i="9" s="1"/>
  <c r="G6" i="8"/>
  <c r="G12" i="8" s="1"/>
  <c r="G4" i="4"/>
  <c r="I8" i="6"/>
  <c r="I9" i="6" s="1"/>
  <c r="I11" i="6" s="1"/>
  <c r="I12" i="9" s="1"/>
  <c r="H6" i="8"/>
  <c r="H12" i="8" s="1"/>
  <c r="H4" i="4"/>
  <c r="J8" i="6"/>
  <c r="J9" i="6" s="1"/>
  <c r="J11" i="6" s="1"/>
  <c r="J12" i="9" s="1"/>
  <c r="J17" i="4"/>
  <c r="T11" i="8"/>
  <c r="T16" i="5"/>
  <c r="D15" i="8"/>
  <c r="D17" i="8" s="1"/>
  <c r="D45" i="5"/>
  <c r="V13" i="8"/>
  <c r="P12" i="4"/>
  <c r="K17" i="4"/>
  <c r="F28" i="4"/>
  <c r="U11" i="8"/>
  <c r="U16" i="5"/>
  <c r="E15" i="8"/>
  <c r="E17" i="8" s="1"/>
  <c r="C13" i="8"/>
  <c r="V28" i="4"/>
  <c r="U8" i="6"/>
  <c r="Q9" i="6"/>
  <c r="Q11" i="6" s="1"/>
  <c r="Q12" i="9" s="1"/>
  <c r="L17" i="4"/>
  <c r="G28" i="4"/>
  <c r="B16" i="5"/>
  <c r="B8" i="8"/>
  <c r="V16" i="5"/>
  <c r="V8" i="8"/>
  <c r="V11" i="8" s="1"/>
  <c r="F15" i="8"/>
  <c r="F17" i="8" s="1"/>
  <c r="F45" i="5"/>
  <c r="D13" i="8"/>
  <c r="G8" i="6"/>
  <c r="G9" i="6" s="1"/>
  <c r="G11" i="6" s="1"/>
  <c r="G12" i="9" s="1"/>
  <c r="C16" i="5"/>
  <c r="C8" i="8"/>
  <c r="C11" i="8" s="1"/>
  <c r="G15" i="8"/>
  <c r="G17" i="8" s="1"/>
  <c r="E13" i="8"/>
  <c r="C8" i="6"/>
  <c r="C9" i="6" s="1"/>
  <c r="C11" i="6" s="1"/>
  <c r="C12" i="9" s="1"/>
  <c r="D11" i="8"/>
  <c r="H15" i="8"/>
  <c r="H17" i="8" s="1"/>
  <c r="F13" i="8"/>
  <c r="B28" i="4"/>
  <c r="V12" i="4"/>
  <c r="E11" i="8"/>
  <c r="I31" i="5"/>
  <c r="I15" i="8"/>
  <c r="I17" i="8" s="1"/>
  <c r="G13" i="8"/>
  <c r="E45" i="5"/>
  <c r="S12" i="4"/>
  <c r="S17" i="4"/>
  <c r="E8" i="6"/>
  <c r="E9" i="6" s="1"/>
  <c r="E11" i="6" s="1"/>
  <c r="E12" i="9" s="1"/>
  <c r="U9" i="6"/>
  <c r="U11" i="6" s="1"/>
  <c r="U12" i="9" s="1"/>
  <c r="R17" i="4"/>
  <c r="F11" i="8"/>
  <c r="J31" i="5"/>
  <c r="J15" i="8"/>
  <c r="J17" i="8" s="1"/>
  <c r="H13" i="8"/>
  <c r="G11" i="8"/>
  <c r="K15" i="8"/>
  <c r="K17" i="8" s="1"/>
  <c r="I13" i="8"/>
  <c r="I9" i="5"/>
  <c r="H11" i="8"/>
  <c r="E16" i="5"/>
  <c r="L15" i="8"/>
  <c r="L17" i="8" s="1"/>
  <c r="J13" i="8"/>
  <c r="B12" i="4"/>
  <c r="P28" i="4"/>
  <c r="I11" i="8"/>
  <c r="F16" i="5"/>
  <c r="N25" i="5"/>
  <c r="K13" i="8"/>
  <c r="J45" i="5"/>
  <c r="C12" i="4"/>
  <c r="J8" i="8"/>
  <c r="J11" i="8" s="1"/>
  <c r="J16" i="5"/>
  <c r="O25" i="5"/>
  <c r="N15" i="8"/>
  <c r="N17" i="8" s="1"/>
  <c r="L13" i="8"/>
  <c r="K45" i="5"/>
  <c r="K11" i="8"/>
  <c r="O31" i="5"/>
  <c r="O15" i="8"/>
  <c r="O17" i="8" s="1"/>
  <c r="M13" i="8"/>
  <c r="L45" i="5"/>
  <c r="R8" i="6"/>
  <c r="R9" i="6" s="1"/>
  <c r="R11" i="6" s="1"/>
  <c r="R12" i="9" s="1"/>
  <c r="N9" i="6"/>
  <c r="N11" i="6" s="1"/>
  <c r="N12" i="9" s="1"/>
  <c r="G12" i="4"/>
  <c r="L8" i="8"/>
  <c r="L11" i="8" s="1"/>
  <c r="L16" i="5"/>
  <c r="L17" i="5" s="1"/>
  <c r="K16" i="5"/>
  <c r="P45" i="5"/>
  <c r="N13" i="8"/>
  <c r="S8" i="6"/>
  <c r="S9" i="6" s="1"/>
  <c r="S11" i="6" s="1"/>
  <c r="S12" i="9" s="1"/>
  <c r="O9" i="6"/>
  <c r="O11" i="6" s="1"/>
  <c r="O12" i="9" s="1"/>
  <c r="H12" i="4"/>
  <c r="N9" i="5"/>
  <c r="M11" i="8"/>
  <c r="Q45" i="5"/>
  <c r="Q15" i="8"/>
  <c r="Q17" i="8" s="1"/>
  <c r="O13" i="8"/>
  <c r="T8" i="6"/>
  <c r="D17" i="4"/>
  <c r="N11" i="8"/>
  <c r="N16" i="5"/>
  <c r="R15" i="8"/>
  <c r="R17" i="8" s="1"/>
  <c r="P13" i="8"/>
  <c r="O45" i="5"/>
  <c r="V8" i="6"/>
  <c r="V9" i="6" s="1"/>
  <c r="V11" i="6" s="1"/>
  <c r="V12" i="9" s="1"/>
  <c r="O11" i="8"/>
  <c r="Q13" i="8"/>
  <c r="T9" i="6"/>
  <c r="T11" i="6" s="1"/>
  <c r="T12" i="9" s="1"/>
  <c r="O8" i="6"/>
  <c r="K9" i="6"/>
  <c r="K11" i="6" s="1"/>
  <c r="K12" i="9" s="1"/>
  <c r="F17" i="4"/>
  <c r="P11" i="8"/>
  <c r="P16" i="5"/>
  <c r="T15" i="8"/>
  <c r="T17" i="8" s="1"/>
  <c r="R13" i="8"/>
  <c r="S45" i="5"/>
  <c r="P8" i="6"/>
  <c r="Q11" i="8"/>
  <c r="U15" i="8"/>
  <c r="U17" i="8" s="1"/>
  <c r="S13" i="8"/>
  <c r="R11" i="8"/>
  <c r="R16" i="5"/>
  <c r="B15" i="8"/>
  <c r="B17" i="8" s="1"/>
  <c r="B45" i="5"/>
  <c r="V15" i="8"/>
  <c r="V17" i="8" s="1"/>
  <c r="V45" i="5"/>
  <c r="T13" i="8"/>
  <c r="U45" i="5"/>
  <c r="D28" i="4"/>
  <c r="S11" i="8"/>
  <c r="S16" i="5"/>
  <c r="D25" i="5"/>
  <c r="C15" i="8"/>
  <c r="C17" i="8" s="1"/>
  <c r="U13" i="8"/>
  <c r="H16" i="5"/>
  <c r="P15" i="8"/>
  <c r="P17" i="8" s="1"/>
  <c r="B11" i="8" l="1"/>
  <c r="B14" i="8" s="1"/>
  <c r="Q10" i="9"/>
  <c r="M10" i="9"/>
  <c r="G10" i="9"/>
  <c r="D10" i="9"/>
  <c r="U10" i="9"/>
  <c r="I10" i="9"/>
  <c r="P10" i="9"/>
  <c r="B10" i="9"/>
  <c r="J10" i="9"/>
  <c r="O40" i="5"/>
  <c r="O41" i="5" s="1"/>
  <c r="O42" i="5" s="1"/>
  <c r="L10" i="9"/>
  <c r="H10" i="9"/>
  <c r="V40" i="5"/>
  <c r="V41" i="5" s="1"/>
  <c r="V42" i="5" s="1"/>
  <c r="V43" i="5" s="1"/>
  <c r="V44" i="5" s="1"/>
  <c r="F10" i="9"/>
  <c r="K10" i="9"/>
  <c r="R10" i="9"/>
  <c r="I14" i="8"/>
  <c r="H14" i="8"/>
  <c r="U14" i="8"/>
  <c r="J14" i="8"/>
  <c r="Q14" i="8"/>
  <c r="K14" i="8"/>
  <c r="C10" i="9"/>
  <c r="C40" i="5"/>
  <c r="C41" i="5" s="1"/>
  <c r="C42" i="5" s="1"/>
  <c r="C43" i="5" s="1"/>
  <c r="C44" i="5" s="1"/>
  <c r="T10" i="9"/>
  <c r="T40" i="5"/>
  <c r="T41" i="5" s="1"/>
  <c r="T42" i="5" s="1"/>
  <c r="T43" i="5" s="1"/>
  <c r="T44" i="5" s="1"/>
  <c r="E14" i="8"/>
  <c r="Q6" i="9"/>
  <c r="S14" i="8"/>
  <c r="E6" i="9"/>
  <c r="R14" i="8"/>
  <c r="D14" i="8"/>
  <c r="T14" i="8"/>
  <c r="C6" i="9"/>
  <c r="C15" i="4"/>
  <c r="C22" i="4" s="1"/>
  <c r="C5" i="4"/>
  <c r="O15" i="4"/>
  <c r="O22" i="4" s="1"/>
  <c r="O24" i="4" s="1"/>
  <c r="O6" i="9"/>
  <c r="O5" i="4"/>
  <c r="O14" i="8"/>
  <c r="N6" i="9"/>
  <c r="N5" i="4"/>
  <c r="N15" i="4"/>
  <c r="N22" i="4" s="1"/>
  <c r="N24" i="4" s="1"/>
  <c r="P15" i="4"/>
  <c r="P22" i="4" s="1"/>
  <c r="P24" i="4" s="1"/>
  <c r="P6" i="9"/>
  <c r="P5" i="4"/>
  <c r="S10" i="9"/>
  <c r="S40" i="5"/>
  <c r="S41" i="5" s="1"/>
  <c r="S42" i="5" s="1"/>
  <c r="S43" i="5" s="1"/>
  <c r="S44" i="5" s="1"/>
  <c r="L14" i="8"/>
  <c r="M6" i="9"/>
  <c r="G6" i="9"/>
  <c r="G5" i="4"/>
  <c r="G15" i="4"/>
  <c r="G22" i="4" s="1"/>
  <c r="G24" i="4" s="1"/>
  <c r="D6" i="9"/>
  <c r="D5" i="4"/>
  <c r="D15" i="4"/>
  <c r="D22" i="4" s="1"/>
  <c r="V6" i="9"/>
  <c r="V15" i="4"/>
  <c r="V22" i="4" s="1"/>
  <c r="V24" i="4" s="1"/>
  <c r="V5" i="4"/>
  <c r="T6" i="9"/>
  <c r="T15" i="4"/>
  <c r="T22" i="4" s="1"/>
  <c r="T24" i="4" s="1"/>
  <c r="T5" i="4"/>
  <c r="M14" i="8"/>
  <c r="I6" i="9"/>
  <c r="L6" i="9"/>
  <c r="L15" i="4"/>
  <c r="L22" i="4" s="1"/>
  <c r="L24" i="4" s="1"/>
  <c r="L25" i="4" s="1"/>
  <c r="G14" i="8"/>
  <c r="B6" i="9"/>
  <c r="B15" i="4"/>
  <c r="B22" i="4" s="1"/>
  <c r="K6" i="9"/>
  <c r="K5" i="4"/>
  <c r="K15" i="4"/>
  <c r="K22" i="4" s="1"/>
  <c r="K24" i="4" s="1"/>
  <c r="V14" i="8"/>
  <c r="S6" i="9"/>
  <c r="S15" i="4"/>
  <c r="S22" i="4" s="1"/>
  <c r="S24" i="4" s="1"/>
  <c r="S25" i="4" s="1"/>
  <c r="S5" i="4"/>
  <c r="P14" i="8"/>
  <c r="F6" i="9"/>
  <c r="F5" i="4"/>
  <c r="F15" i="4"/>
  <c r="F22" i="4" s="1"/>
  <c r="F24" i="4" s="1"/>
  <c r="E10" i="9"/>
  <c r="E40" i="5"/>
  <c r="E41" i="5" s="1"/>
  <c r="E42" i="5" s="1"/>
  <c r="E43" i="5" s="1"/>
  <c r="E44" i="5" s="1"/>
  <c r="U6" i="9"/>
  <c r="R6" i="9"/>
  <c r="R15" i="4"/>
  <c r="R22" i="4" s="1"/>
  <c r="R24" i="4" s="1"/>
  <c r="R25" i="4" s="1"/>
  <c r="R5" i="4"/>
  <c r="C14" i="8"/>
  <c r="H6" i="9"/>
  <c r="H5" i="4"/>
  <c r="H15" i="4"/>
  <c r="H22" i="4" s="1"/>
  <c r="H24" i="4" s="1"/>
  <c r="J6" i="9"/>
  <c r="J5" i="4"/>
  <c r="J15" i="4"/>
  <c r="J22" i="4" s="1"/>
  <c r="J24" i="4" s="1"/>
  <c r="N14" i="8"/>
  <c r="F14" i="8"/>
  <c r="G40" i="5" l="1"/>
  <c r="G41" i="5" s="1"/>
  <c r="G42" i="5" s="1"/>
  <c r="G11" i="9" s="1"/>
  <c r="Q40" i="5"/>
  <c r="Q41" i="5" s="1"/>
  <c r="Q42" i="5" s="1"/>
  <c r="Q11" i="9" s="1"/>
  <c r="D40" i="5"/>
  <c r="D41" i="5" s="1"/>
  <c r="D42" i="5" s="1"/>
  <c r="D11" i="9" s="1"/>
  <c r="V10" i="9"/>
  <c r="U40" i="5"/>
  <c r="U41" i="5" s="1"/>
  <c r="U42" i="5" s="1"/>
  <c r="U43" i="5" s="1"/>
  <c r="U44" i="5" s="1"/>
  <c r="J40" i="5"/>
  <c r="J41" i="5" s="1"/>
  <c r="J42" i="5" s="1"/>
  <c r="J43" i="5" s="1"/>
  <c r="J44" i="5" s="1"/>
  <c r="I40" i="5"/>
  <c r="I41" i="5" s="1"/>
  <c r="I42" i="5" s="1"/>
  <c r="I43" i="5" s="1"/>
  <c r="I44" i="5" s="1"/>
  <c r="M40" i="5"/>
  <c r="M41" i="5" s="1"/>
  <c r="M42" i="5" s="1"/>
  <c r="M43" i="5" s="1"/>
  <c r="M44" i="5" s="1"/>
  <c r="H40" i="5"/>
  <c r="H41" i="5" s="1"/>
  <c r="H42" i="5" s="1"/>
  <c r="H43" i="5" s="1"/>
  <c r="H44" i="5" s="1"/>
  <c r="L40" i="5"/>
  <c r="L41" i="5" s="1"/>
  <c r="L42" i="5" s="1"/>
  <c r="L43" i="5" s="1"/>
  <c r="L44" i="5" s="1"/>
  <c r="B40" i="5"/>
  <c r="B41" i="5" s="1"/>
  <c r="B42" i="5" s="1"/>
  <c r="B43" i="5" s="1"/>
  <c r="B44" i="5" s="1"/>
  <c r="K40" i="5"/>
  <c r="K41" i="5" s="1"/>
  <c r="K42" i="5" s="1"/>
  <c r="K43" i="5" s="1"/>
  <c r="K44" i="5" s="1"/>
  <c r="F40" i="5"/>
  <c r="F41" i="5" s="1"/>
  <c r="F42" i="5" s="1"/>
  <c r="F43" i="5" s="1"/>
  <c r="F44" i="5" s="1"/>
  <c r="P40" i="5"/>
  <c r="P41" i="5" s="1"/>
  <c r="P42" i="5" s="1"/>
  <c r="P43" i="5" s="1"/>
  <c r="P44" i="5" s="1"/>
  <c r="R40" i="5"/>
  <c r="R41" i="5" s="1"/>
  <c r="R42" i="5" s="1"/>
  <c r="R43" i="5" s="1"/>
  <c r="R44" i="5" s="1"/>
  <c r="O11" i="9"/>
  <c r="O43" i="5"/>
  <c r="O44" i="5" s="1"/>
  <c r="K11" i="9"/>
  <c r="V11" i="9"/>
  <c r="G43" i="5"/>
  <c r="G44" i="5" s="1"/>
  <c r="E11" i="9"/>
  <c r="S11" i="9"/>
  <c r="U7" i="9"/>
  <c r="P7" i="9"/>
  <c r="P16" i="4"/>
  <c r="T11" i="9"/>
  <c r="N16" i="4"/>
  <c r="N7" i="9"/>
  <c r="M7" i="9"/>
  <c r="D7" i="9"/>
  <c r="D16" i="4"/>
  <c r="D24" i="4"/>
  <c r="C11" i="9"/>
  <c r="L7" i="9"/>
  <c r="L16" i="4"/>
  <c r="E7" i="9"/>
  <c r="F7" i="9"/>
  <c r="F16" i="4"/>
  <c r="I7" i="9"/>
  <c r="J7" i="9"/>
  <c r="J16" i="4"/>
  <c r="B7" i="9"/>
  <c r="B16" i="4"/>
  <c r="B24" i="4"/>
  <c r="B25" i="4" s="1"/>
  <c r="V7" i="9"/>
  <c r="V16" i="4"/>
  <c r="H7" i="9"/>
  <c r="H16" i="4"/>
  <c r="S7" i="9"/>
  <c r="S16" i="4"/>
  <c r="G7" i="9"/>
  <c r="G16" i="4"/>
  <c r="R7" i="9"/>
  <c r="R16" i="4"/>
  <c r="N10" i="9"/>
  <c r="N40" i="5"/>
  <c r="N41" i="5" s="1"/>
  <c r="N42" i="5" s="1"/>
  <c r="N43" i="5" s="1"/>
  <c r="N44" i="5" s="1"/>
  <c r="O16" i="4"/>
  <c r="O7" i="9"/>
  <c r="Q7" i="9"/>
  <c r="K7" i="9"/>
  <c r="K16" i="4"/>
  <c r="C7" i="9"/>
  <c r="C16" i="4"/>
  <c r="C24" i="4"/>
  <c r="T7" i="9"/>
  <c r="T16" i="4"/>
  <c r="D43" i="5" l="1"/>
  <c r="D44" i="5" s="1"/>
  <c r="Q43" i="5"/>
  <c r="Q44" i="5" s="1"/>
  <c r="H11" i="9"/>
  <c r="P11" i="9"/>
  <c r="U11" i="9"/>
  <c r="I11" i="9"/>
  <c r="R11" i="9"/>
  <c r="L11" i="9"/>
  <c r="J11" i="9"/>
  <c r="F11" i="9"/>
  <c r="M11" i="9"/>
  <c r="B11" i="9"/>
  <c r="N11" i="9"/>
  <c r="G8" i="9"/>
  <c r="G25" i="4"/>
  <c r="G26" i="4"/>
  <c r="D8" i="9"/>
  <c r="D26" i="4"/>
  <c r="D25" i="4"/>
  <c r="F8" i="9"/>
  <c r="F25" i="4"/>
  <c r="F26" i="4"/>
  <c r="T8" i="9"/>
  <c r="T26" i="4"/>
  <c r="T25" i="4"/>
  <c r="H8" i="9"/>
  <c r="H25" i="4"/>
  <c r="H26" i="4"/>
  <c r="N8" i="9"/>
  <c r="N26" i="4"/>
  <c r="N25" i="4"/>
  <c r="E8" i="9"/>
  <c r="B8" i="9"/>
  <c r="B26" i="4"/>
  <c r="P8" i="9"/>
  <c r="P26" i="4"/>
  <c r="P25" i="4"/>
  <c r="C8" i="9"/>
  <c r="C25" i="4"/>
  <c r="C26" i="4"/>
  <c r="V25" i="4"/>
  <c r="V8" i="9"/>
  <c r="V26" i="4"/>
  <c r="R8" i="9"/>
  <c r="R26" i="4"/>
  <c r="U8" i="9"/>
  <c r="K25" i="4"/>
  <c r="K8" i="9"/>
  <c r="K26" i="4"/>
  <c r="L8" i="9"/>
  <c r="L26" i="4"/>
  <c r="Q8" i="9"/>
  <c r="J8" i="9"/>
  <c r="J26" i="4"/>
  <c r="J25" i="4"/>
  <c r="S8" i="9"/>
  <c r="S26" i="4"/>
  <c r="O8" i="9"/>
  <c r="O26" i="4"/>
  <c r="O25" i="4"/>
  <c r="I8" i="9"/>
  <c r="M8" i="9"/>
  <c r="L9" i="9" l="1"/>
  <c r="C9" i="9"/>
  <c r="I9" i="9"/>
  <c r="T9" i="9"/>
  <c r="F9" i="9"/>
  <c r="H9" i="9"/>
  <c r="R9" i="9"/>
  <c r="B9" i="9"/>
  <c r="U9" i="9"/>
  <c r="E9" i="9"/>
  <c r="V9" i="9"/>
  <c r="K9" i="9"/>
  <c r="O9" i="9"/>
  <c r="P9" i="9"/>
  <c r="S9" i="9"/>
  <c r="J9" i="9"/>
  <c r="D9" i="9"/>
  <c r="G9" i="9"/>
  <c r="M9" i="9"/>
  <c r="Q9" i="9"/>
  <c r="N9" i="9"/>
</calcChain>
</file>

<file path=xl/sharedStrings.xml><?xml version="1.0" encoding="utf-8"?>
<sst xmlns="http://schemas.openxmlformats.org/spreadsheetml/2006/main" count="712" uniqueCount="276">
  <si>
    <t>Quarterly line item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</si>
  <si>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</si>
  <si>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</si>
  <si>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</si>
  <si>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</si>
  <si>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</si>
  <si>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</si>
  <si>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</si>
  <si>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</si>
  <si>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</si>
  <si>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</si>
  <si>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</si>
  <si>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</si>
  <si>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</si>
  <si>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</si>
  <si>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</si>
  <si>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</si>
  <si>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</si>
  <si>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</si>
  <si>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</si>
  <si>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</si>
  <si>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</si>
  <si>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Net sales</t>
  </si>
  <si>
    <t>Cost of sales</t>
  </si>
  <si>
    <t>Selling and marketing expenses</t>
  </si>
  <si>
    <t>General and administrative expenses</t>
  </si>
  <si>
    <t>Net other operating income</t>
  </si>
  <si>
    <t>Company share from investment in Associate</t>
  </si>
  <si>
    <t>Provisions no longer required</t>
  </si>
  <si>
    <t>Write-down / impairment</t>
  </si>
  <si>
    <t>Other provisions</t>
  </si>
  <si>
    <t>Other operating items / balancing</t>
  </si>
  <si>
    <t>Finance income</t>
  </si>
  <si>
    <t>Finance expenses</t>
  </si>
  <si>
    <t>Loss on sale / other finance items</t>
  </si>
  <si>
    <t>Contribution / comprehensive insurance / solidarity</t>
  </si>
  <si>
    <t>Income tax expense</t>
  </si>
  <si>
    <t>Profit attributable to parent</t>
  </si>
  <si>
    <t>Non-controlling interest</t>
  </si>
  <si>
    <t>Earnings per share</t>
  </si>
  <si>
    <t>Raw extracted line item</t>
  </si>
  <si>
    <t>Property, plant and equipment</t>
  </si>
  <si>
    <t>Projects under construction</t>
  </si>
  <si>
    <t>Investments in associate</t>
  </si>
  <si>
    <t>Investment in subsidiary</t>
  </si>
  <si>
    <t>Other non-current assets / balancing</t>
  </si>
  <si>
    <t>Inventories</t>
  </si>
  <si>
    <t>Accounts and notes receivable</t>
  </si>
  <si>
    <t>Prepayments and other debit balances / balancing</t>
  </si>
  <si>
    <t>Financial investment at amortized cost - treasury bills</t>
  </si>
  <si>
    <t>Cash on hand and at banks</t>
  </si>
  <si>
    <t>Issued and paid-up capital</t>
  </si>
  <si>
    <t>Legal reserve</t>
  </si>
  <si>
    <t>Special reserve / share premium</t>
  </si>
  <si>
    <t>Other reserves</t>
  </si>
  <si>
    <t>Retained earnings and other equity reserves / balancing</t>
  </si>
  <si>
    <t>Non-controlling interests</t>
  </si>
  <si>
    <t>Long-term loans</t>
  </si>
  <si>
    <t>Lease liability - long term</t>
  </si>
  <si>
    <t>Deferred tax liabilities</t>
  </si>
  <si>
    <t>Other non-current liabilities / balancing</t>
  </si>
  <si>
    <t>Credit facilities - short term</t>
  </si>
  <si>
    <t>Short-term loans</t>
  </si>
  <si>
    <t>Lease liability - short term</t>
  </si>
  <si>
    <t>Trade and notes payable</t>
  </si>
  <si>
    <t>Provisions</t>
  </si>
  <si>
    <t>Accrued expenses and other credit balances</t>
  </si>
  <si>
    <t>Income tax payable</t>
  </si>
  <si>
    <t>Other current liabilities / balancing</t>
  </si>
  <si>
    <t>Net cash flows from operating activities</t>
  </si>
  <si>
    <t>Net cash flows from investing activities</t>
  </si>
  <si>
    <t>Net cash flows from financing activities</t>
  </si>
  <si>
    <t>Foreign exchange / residual effect</t>
  </si>
  <si>
    <t>Cash and cash equivalents - beginning</t>
  </si>
  <si>
    <t>Cash and cash equivalents - end (source)</t>
  </si>
  <si>
    <t>Domty — Quarterly Income Statement (EGP)</t>
  </si>
  <si>
    <t>Revenue</t>
  </si>
  <si>
    <t>Gross profit</t>
  </si>
  <si>
    <t>Gross margin %</t>
  </si>
  <si>
    <t>Operating expenses / income</t>
  </si>
  <si>
    <t>Operating profit</t>
  </si>
  <si>
    <t>Operating margin %</t>
  </si>
  <si>
    <t>Finance, tax and net income</t>
  </si>
  <si>
    <t>Profit before income tax</t>
  </si>
  <si>
    <t>Profit after income taxes</t>
  </si>
  <si>
    <t>Net margin %</t>
  </si>
  <si>
    <t>Domty — Statement of Financial Position by Quarter-End (EGP)</t>
  </si>
  <si>
    <t>Line item / Period</t>
  </si>
  <si>
    <t>Scope</t>
  </si>
  <si>
    <t>Consolidated</t>
  </si>
  <si>
    <t>Separate</t>
  </si>
  <si>
    <t>Source file</t>
  </si>
  <si>
    <t>1Q21.pdf</t>
  </si>
  <si>
    <t>2Q21.pdf</t>
  </si>
  <si>
    <t>3Q21.pdf</t>
  </si>
  <si>
    <t>4Q21.pdf</t>
  </si>
  <si>
    <t>1Q22.pdf</t>
  </si>
  <si>
    <t>2Q22.pdf</t>
  </si>
  <si>
    <t>3Q22.pdf</t>
  </si>
  <si>
    <t>4Q22.pdf</t>
  </si>
  <si>
    <t>1Q23.pdf</t>
  </si>
  <si>
    <t>2Q23.pdf</t>
  </si>
  <si>
    <t>3Q23.pdf</t>
  </si>
  <si>
    <t>4Q23.pdf</t>
  </si>
  <si>
    <t>1Q24.pdf</t>
  </si>
  <si>
    <t>2Q24.pdf</t>
  </si>
  <si>
    <t>3Q24.pdf</t>
  </si>
  <si>
    <t>4Q24.pdf</t>
  </si>
  <si>
    <t>1Q25.pdf</t>
  </si>
  <si>
    <t>2Q25.pdf</t>
  </si>
  <si>
    <t>3Q25.pdf</t>
  </si>
  <si>
    <t>4Q25.pdf</t>
  </si>
  <si>
    <t>Q1-2026.pdf</t>
  </si>
  <si>
    <t>Assets</t>
  </si>
  <si>
    <t>Non-current assets</t>
  </si>
  <si>
    <t>Total non-current assets</t>
  </si>
  <si>
    <t>Current assets</t>
  </si>
  <si>
    <t>Financial investment at amortized cost - Treasury bills</t>
  </si>
  <si>
    <t>Total current assets</t>
  </si>
  <si>
    <t>Total assets</t>
  </si>
  <si>
    <t>Equity</t>
  </si>
  <si>
    <t>Total equity</t>
  </si>
  <si>
    <t>Non-current liabilities</t>
  </si>
  <si>
    <t>Total non-current liabilities</t>
  </si>
  <si>
    <t>Current liabilities</t>
  </si>
  <si>
    <t>Total current liabilities</t>
  </si>
  <si>
    <t>Total liabilities</t>
  </si>
  <si>
    <t>Total equity and liabilities</t>
  </si>
  <si>
    <t>Balance sheet check</t>
  </si>
  <si>
    <t>Net debt</t>
  </si>
  <si>
    <t>Domty — Quarterly Statement of Cash Flows (EGP)</t>
  </si>
  <si>
    <t>Period range</t>
  </si>
  <si>
    <t>1/1/2021–31/3/2021</t>
  </si>
  <si>
    <t>1/4/2021–30/6/2021</t>
  </si>
  <si>
    <t>1/7/2021–30/9/2021</t>
  </si>
  <si>
    <t>1/10/2021–31/12/2021</t>
  </si>
  <si>
    <t>1/1/2022–31/3/2022</t>
  </si>
  <si>
    <t>1/4/2022–30/6/2022</t>
  </si>
  <si>
    <t>1/7/2022–30/9/2022</t>
  </si>
  <si>
    <t>1/10/2022–31/12/2022</t>
  </si>
  <si>
    <t>1/1/2023–31/3/2023</t>
  </si>
  <si>
    <t>1/4/2023–30/6/2023</t>
  </si>
  <si>
    <t>1/7/2023–30/9/2023</t>
  </si>
  <si>
    <t>1/10/2023–31/12/2023</t>
  </si>
  <si>
    <t>1/1/2024–31/3/2024</t>
  </si>
  <si>
    <t>1/4/2024–30/6/2024</t>
  </si>
  <si>
    <t>1/7/2024–30/9/2024</t>
  </si>
  <si>
    <t>1/10/2024–31/12/2024</t>
  </si>
  <si>
    <t>1/1/2025–31/3/2025</t>
  </si>
  <si>
    <t>1/4/2025–30/6/2025</t>
  </si>
  <si>
    <t>1/7/2025–30/9/2025</t>
  </si>
  <si>
    <t>1/10/2025–31/12/2025</t>
  </si>
  <si>
    <t>1/1/2026–31/3/2026</t>
  </si>
  <si>
    <t>Source statement line / reconstructed if OCR missing</t>
  </si>
  <si>
    <t>Balancing FX/residual line</t>
  </si>
  <si>
    <t>Prior FY cash balance</t>
  </si>
  <si>
    <t>Net change in cash</t>
  </si>
  <si>
    <t>CFO + CFI + CFF</t>
  </si>
  <si>
    <t>Cash and cash equivalents - end (computed)</t>
  </si>
  <si>
    <t>Beginning cash + net change + FX/residual</t>
  </si>
  <si>
    <t>Source statement / balance sheet cash</t>
  </si>
  <si>
    <t>Cash check</t>
  </si>
  <si>
    <t>Computed cash end - source cash end</t>
  </si>
  <si>
    <t>Domty — Quarterly Working Capital and Leverage (EGP)</t>
  </si>
  <si>
    <t>Formula</t>
  </si>
  <si>
    <t>Period range / as-of</t>
  </si>
  <si>
    <t>From Income Statement - quarterly</t>
  </si>
  <si>
    <t>Cost of sales (positive)</t>
  </si>
  <si>
    <t>Cost of sales made positive - quarterly</t>
  </si>
  <si>
    <t>From Balance Sheet - quarter-end</t>
  </si>
  <si>
    <t>Receivables</t>
  </si>
  <si>
    <t>Trade payables</t>
  </si>
  <si>
    <t>DIO</t>
  </si>
  <si>
    <t>Inventory / Q COGS * 91.25</t>
  </si>
  <si>
    <t>DSO</t>
  </si>
  <si>
    <t>Receivables / Q sales * 91.25</t>
  </si>
  <si>
    <t>DPO</t>
  </si>
  <si>
    <t>Trade payables / Q COGS * 91.25</t>
  </si>
  <si>
    <t>Cash conversion cycle</t>
  </si>
  <si>
    <t>DIO + DSO - DPO</t>
  </si>
  <si>
    <t>Total debt</t>
  </si>
  <si>
    <t>Credit facilities + short-term loans + long-term loans</t>
  </si>
  <si>
    <t>Cash</t>
  </si>
  <si>
    <t>Cash on hand and banks</t>
  </si>
  <si>
    <t>Total debt - cash</t>
  </si>
  <si>
    <t>Domty — Formula Integrity Checks</t>
  </si>
  <si>
    <t>Expected</t>
  </si>
  <si>
    <t>Income statement: Gross profit check</t>
  </si>
  <si>
    <t>0</t>
  </si>
  <si>
    <t>Income statement: Operating profit check</t>
  </si>
  <si>
    <t>Income statement: Profit after tax check</t>
  </si>
  <si>
    <t>Income statement: Parent profit check</t>
  </si>
  <si>
    <t>Balance sheet: Total assets check</t>
  </si>
  <si>
    <t>Balance sheet: A = L + E check</t>
  </si>
  <si>
    <t>Cash flow: Cash end check</t>
  </si>
  <si>
    <t>Blank except 1Q26</t>
  </si>
  <si>
    <t>Scope warning</t>
  </si>
  <si>
    <t>Domty Financial Database</t>
  </si>
  <si>
    <t>Format</t>
  </si>
  <si>
    <t>Edited on the uploaded workbook. Periods are standalone quarters as columns: 1Q21, 2Q21, 3Q21, 4Q21 … 1Q26.</t>
  </si>
  <si>
    <t>Coverage</t>
  </si>
  <si>
    <t>Quarterly standalone periods from 1Q21 to 4Q25, plus 1Q26.</t>
  </si>
  <si>
    <t>Quarter logic</t>
  </si>
  <si>
    <t>For income statement and cash flow, 2Q/3Q/4Q are formulas derived from cumulative reports: current cumulative period minus previous cumulative period.</t>
  </si>
  <si>
    <t>Balance sheet logic</t>
  </si>
  <si>
    <t>Balance sheet remains point-in-time and is shown by quarter-end date; it is not subtracted because assets/liabilities are as-of balances.</t>
  </si>
  <si>
    <t>Formula logic</t>
  </si>
  <si>
    <t>Statement tabs link to Input tabs; gross profit, operating profit, net profit, balance sheet totals and cash tie-outs are formulas.</t>
  </si>
  <si>
    <t>Checks</t>
  </si>
  <si>
    <t>Use the Checks sheet to test gross profit, operating profit, net profit, balance sheet equality, and cash tie-out.</t>
  </si>
  <si>
    <t>Important</t>
  </si>
  <si>
    <t>Q1 2026 is separate financial statements, while earlier periods are consolidated; it is flagged in Checks and Quarterly Data.</t>
  </si>
  <si>
    <t>Source tabs</t>
  </si>
  <si>
    <t>Source_IS_YTD, Source_CF_YTD and Source_BS_AsReported preserve the extracted cumulative/as-reported source data used by formulas.</t>
  </si>
  <si>
    <t>Reported cumulative / as-file extracted income statement values</t>
  </si>
  <si>
    <t>H1 2021</t>
  </si>
  <si>
    <t>9M 2021</t>
  </si>
  <si>
    <t>FY 2021</t>
  </si>
  <si>
    <t>H1 2022</t>
  </si>
  <si>
    <t>9M 2022</t>
  </si>
  <si>
    <t>FY 2022</t>
  </si>
  <si>
    <t>H1 2023</t>
  </si>
  <si>
    <t>9M 2023</t>
  </si>
  <si>
    <t>FY 2023</t>
  </si>
  <si>
    <t>H1 2024</t>
  </si>
  <si>
    <t>9M 2024</t>
  </si>
  <si>
    <t>FY 2024</t>
  </si>
  <si>
    <t>H1 2025</t>
  </si>
  <si>
    <t>9M 2025</t>
  </si>
  <si>
    <t>FY 2025</t>
  </si>
  <si>
    <t>Reported cumulative / as-file extracted cash-flow values</t>
  </si>
  <si>
    <t>Reported balance sheet values as of each reporting date</t>
  </si>
  <si>
    <t>FY21</t>
  </si>
  <si>
    <t>FY22</t>
  </si>
  <si>
    <t>FY23</t>
  </si>
  <si>
    <t>FY24</t>
  </si>
  <si>
    <t>FY25</t>
  </si>
  <si>
    <t>Domty — Financial Ratios (Quarterly + FY)</t>
  </si>
  <si>
    <t>Metric</t>
  </si>
  <si>
    <t>Period days</t>
  </si>
  <si>
    <t>PROFITABILITY</t>
  </si>
  <si>
    <t>Gross margin</t>
  </si>
  <si>
    <t>Operating margin (EBIT)</t>
  </si>
  <si>
    <t>Net margin</t>
  </si>
  <si>
    <t>Return on Assets (ROA)</t>
  </si>
  <si>
    <t>Return on Equity (ROE)</t>
  </si>
  <si>
    <t>LIQUIDITY</t>
  </si>
  <si>
    <t>Current ratio</t>
  </si>
  <si>
    <t>Quick ratio</t>
  </si>
  <si>
    <t>Cash ratio</t>
  </si>
  <si>
    <t>Working capital (EGP)</t>
  </si>
  <si>
    <t>CASH CONVERSION CYCLE</t>
  </si>
  <si>
    <t>Days Inventory Outstanding (DIO)</t>
  </si>
  <si>
    <t>Days Sales Outstanding (DSO)</t>
  </si>
  <si>
    <t>Days Payables Outstanding (DPO)</t>
  </si>
  <si>
    <t>Cash Conversion Cycle (CCC)</t>
  </si>
  <si>
    <t>LEVERAGE &amp; SOLVENCY</t>
  </si>
  <si>
    <t>Total debt (EGP)</t>
  </si>
  <si>
    <t>Net debt (EGP)</t>
  </si>
  <si>
    <t>Debt / Equity</t>
  </si>
  <si>
    <t>Debt / Assets</t>
  </si>
  <si>
    <t>Net Debt / Equity</t>
  </si>
  <si>
    <t>EFFICIENCY / ACTIVITY</t>
  </si>
  <si>
    <t>Inventory turnover (annualized)</t>
  </si>
  <si>
    <t>Receivables turnover (annualized)</t>
  </si>
  <si>
    <t>Payables turnover (annualized)</t>
  </si>
  <si>
    <t>GROWTH (YoY, same period)</t>
  </si>
  <si>
    <t>Revenue growth YoY</t>
  </si>
  <si>
    <t>Gross profit growth YoY</t>
  </si>
  <si>
    <t>Operating profit growth YoY</t>
  </si>
  <si>
    <t>Net income growth YoY</t>
  </si>
  <si>
    <t>Return on Invested Capital (ROIC, assumed 22.5% tax)</t>
  </si>
  <si>
    <t>Working capital / Revenue (annualized)</t>
  </si>
  <si>
    <t>Equity multiplier (Assets / Equity)</t>
  </si>
  <si>
    <t>Interest coverage (EBIT / Finance exp)</t>
  </si>
  <si>
    <t>Implied cost of debt (annualized)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</si>
</sst>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;[Red]\(#,##0\);\-"/>
    <numFmt numFmtId="165" formatCode="0.00;[Red]\(0.00\);\-"/>
    <numFmt numFmtId="166" formatCode="0.0;[Red]\(0.0\);\-"/>
    <numFmt numFmtId="167" formatCode="#,##0;\(#,##0\);\–"/>
    <numFmt numFmtId="168" formatCode="#,##0.00;\(#,##0.00\);\–"/>
    <numFmt numFmtId="169" formatCode="0.0%;\(0.0%\);\-"/>
    <numFmt numFmtId="170" formatCode="0.00&quot;x&quot;"/>
    <numFmt numFmtId="171" formatCode="#,##0;\(#,##0\);\-"/>
    <numFmt numFmtId="172" formatCode="0&quot; d&quot;"/>
  </numFmts>
  <fonts count="19">
    <font>
      <sz val="11"/>
      <name val="Carlito"/>
    </font>
    <font>
      <b/>
      <sz val="11"/>
      <color rgb="FFFFFFFF"/>
      <name val="Carlito"/>
    </font>
    <font>
      <sz val="11"/>
      <color rgb="FF1F4E79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1"/>
      <color rgb="FF000000"/>
      <name val="Carlito"/>
    </font>
    <font>
      <sz val="11"/>
      <color rgb="FF008000"/>
      <name val="Carlito"/>
    </font>
    <font>
      <b/>
      <sz val="11"/>
      <name val="Carlito"/>
    </font>
    <font>
      <b/>
      <i/>
      <sz val="9"/>
      <color rgb="FF666666"/>
      <name val="Carlito"/>
    </font>
    <font>
      <i/>
      <sz val="11"/>
      <color rgb="FF9C6500"/>
      <name val="Carlito"/>
    </font>
    <font>
      <b/>
      <sz val="11"/>
      <color rgb="FF9C6500"/>
      <name val="Carlito"/>
    </font>
    <font>
      <sz val="11"/>
      <name val="Carlito"/>
    </font>
    <font>
      <sz val="10"/>
      <color rgb="FF1A1A1A"/>
      <name val="Aptos Narrow"/>
      <charset val="1"/>
    </font>
    <font>
      <b/>
      <sz val="10"/>
      <color rgb="FF0B2545"/>
      <name val="Aptos Narrow"/>
      <charset val="1"/>
    </font>
    <font>
      <b/>
      <i/>
      <sz val="10"/>
      <color theme="0"/>
      <name val="Aptos Narrow"/>
      <family val="2"/>
      <charset val="1"/>
    </font>
    <font>
      <sz val="11"/>
      <color theme="0"/>
      <name val="Calibri"/>
      <family val="2"/>
      <charset val="178"/>
    </font>
    <font>
      <b/>
      <sz val="10"/>
      <color rgb="FF1A1A1A"/>
      <name val="Aptos Narrow"/>
      <family val="2"/>
    </font>
    <font>
      <b/>
      <sz val="14"/>
      <color rgb="FFFFFFFF"/>
      <name val="Carlito"/>
    </font>
    <font>
      <i/>
      <sz val="11"/>
      <color rgb="FF808080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536A83"/>
      </patternFill>
    </fill>
    <fill>
      <patternFill patternType="solid">
        <fgColor rgb="FFF7F9FB"/>
      </patternFill>
    </fill>
    <fill>
      <patternFill patternType="solid">
        <fgColor rgb="FFE7EE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1F8"/>
        <bgColor rgb="FFD6E4F0"/>
      </patternFill>
    </fill>
    <fill>
      <patternFill patternType="solid">
        <fgColor rgb="FFD6E4F0"/>
        <bgColor rgb="FFEAF1F8"/>
      </patternFill>
    </fill>
    <fill>
      <patternFill patternType="solid">
        <fgColor rgb="FF13315C"/>
        <bgColor rgb="FF0B254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B2545"/>
      </top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61">
    <xf numFmtId="0" fontId="0" fillId="0" borderId="0" xfId="0"/>
    <xf numFmtId="164" fontId="2" fillId="0" borderId="0" xfId="0" applyNumberFormat="1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164" fontId="0" fillId="0" borderId="0" xfId="0" applyNumberFormat="1"/>
    <xf numFmtId="0" fontId="7" fillId="0" borderId="0" xfId="0" applyFont="1"/>
    <xf numFmtId="0" fontId="8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164" fontId="6" fillId="0" borderId="0" xfId="0" applyNumberFormat="1" applyFont="1" applyAlignment="1">
      <alignment horizontal="right"/>
    </xf>
    <xf numFmtId="166" fontId="0" fillId="0" borderId="0" xfId="0" applyNumberFormat="1"/>
    <xf numFmtId="166" fontId="7" fillId="0" borderId="0" xfId="0" applyNumberFormat="1" applyFont="1"/>
    <xf numFmtId="164" fontId="7" fillId="0" borderId="0" xfId="0" applyNumberFormat="1" applyFont="1"/>
    <xf numFmtId="0" fontId="1" fillId="6" borderId="0" xfId="0" applyFont="1" applyFill="1"/>
    <xf numFmtId="0" fontId="5" fillId="7" borderId="0" xfId="0" applyFont="1" applyFill="1"/>
    <xf numFmtId="0" fontId="1" fillId="6" borderId="0" xfId="0" applyFont="1" applyFill="1" applyAlignment="1">
      <alignment horizontal="center"/>
    </xf>
    <xf numFmtId="165" fontId="2" fillId="0" borderId="0" xfId="0" applyNumberFormat="1" applyFont="1"/>
    <xf numFmtId="0" fontId="1" fillId="6" borderId="0" xfId="0" applyFont="1" applyFill="1" applyAlignment="1">
      <alignment wrapText="1"/>
    </xf>
    <xf numFmtId="0" fontId="3" fillId="6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7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right"/>
    </xf>
    <xf numFmtId="164" fontId="9" fillId="5" borderId="0" xfId="0" applyNumberFormat="1" applyFont="1" applyFill="1"/>
    <xf numFmtId="0" fontId="10" fillId="0" borderId="0" xfId="0" applyFont="1"/>
    <xf numFmtId="0" fontId="7" fillId="7" borderId="0" xfId="0" applyFont="1" applyFill="1"/>
    <xf numFmtId="0" fontId="7" fillId="7" borderId="0" xfId="0" applyFont="1" applyFill="1" applyAlignment="1">
      <alignment wrapText="1"/>
    </xf>
    <xf numFmtId="0" fontId="3" fillId="6" borderId="0" xfId="0" applyFont="1" applyFill="1" applyAlignment="1">
      <alignment horizontal="center"/>
    </xf>
    <xf numFmtId="0" fontId="12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right" vertical="center"/>
    </xf>
    <xf numFmtId="0" fontId="12" fillId="8" borderId="0" xfId="0" applyFont="1" applyFill="1" applyAlignment="1">
      <alignment horizontal="left" vertical="center"/>
    </xf>
    <xf numFmtId="167" fontId="12" fillId="8" borderId="0" xfId="0" applyNumberFormat="1" applyFont="1" applyFill="1" applyAlignment="1">
      <alignment horizontal="right" vertical="center"/>
    </xf>
    <xf numFmtId="0" fontId="13" fillId="9" borderId="0" xfId="0" applyFont="1" applyFill="1" applyAlignment="1">
      <alignment horizontal="left" vertical="center"/>
    </xf>
    <xf numFmtId="167" fontId="13" fillId="9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14" fillId="10" borderId="0" xfId="0" applyFont="1" applyFill="1" applyAlignment="1">
      <alignment horizontal="left" vertical="center"/>
    </xf>
    <xf numFmtId="0" fontId="15" fillId="10" borderId="0" xfId="0" applyFont="1" applyFill="1"/>
    <xf numFmtId="0" fontId="15" fillId="0" borderId="0" xfId="0" applyFont="1"/>
    <xf numFmtId="0" fontId="0" fillId="8" borderId="0" xfId="0" applyFill="1" applyAlignment="1">
      <alignment horizontal="right" vertical="center"/>
    </xf>
    <xf numFmtId="167" fontId="13" fillId="9" borderId="2" xfId="0" applyNumberFormat="1" applyFont="1" applyFill="1" applyBorder="1" applyAlignment="1">
      <alignment horizontal="right" vertical="center"/>
    </xf>
    <xf numFmtId="167" fontId="12" fillId="8" borderId="0" xfId="0" applyNumberFormat="1" applyFont="1" applyFill="1" applyAlignment="1">
      <alignment horizontal="left" vertical="center"/>
    </xf>
    <xf numFmtId="167" fontId="14" fillId="10" borderId="0" xfId="0" applyNumberFormat="1" applyFont="1" applyFill="1" applyAlignment="1">
      <alignment horizontal="left" vertical="center"/>
    </xf>
    <xf numFmtId="10" fontId="0" fillId="0" borderId="0" xfId="1" applyNumberFormat="1" applyFont="1"/>
    <xf numFmtId="10" fontId="12" fillId="11" borderId="0" xfId="1" applyNumberFormat="1" applyFont="1" applyFill="1" applyAlignment="1">
      <alignment horizontal="right" vertical="center"/>
    </xf>
    <xf numFmtId="10" fontId="16" fillId="11" borderId="0" xfId="1" applyNumberFormat="1" applyFont="1" applyFill="1" applyAlignment="1">
      <alignment horizontal="left" vertical="center"/>
    </xf>
    <xf numFmtId="168" fontId="12" fillId="0" borderId="0" xfId="0" applyNumberFormat="1" applyFont="1" applyAlignment="1">
      <alignment horizontal="right" vertical="center"/>
    </xf>
    <xf numFmtId="0" fontId="1" fillId="12" borderId="0" xfId="0" applyFont="1" applyFill="1" applyAlignment="1">
      <alignment horizontal="center" wrapText="1"/>
    </xf>
    <xf numFmtId="10" fontId="16" fillId="13" borderId="0" xfId="1" applyNumberFormat="1" applyFont="1" applyFill="1" applyAlignment="1">
      <alignment horizontal="right" vertical="center"/>
    </xf>
    <xf numFmtId="0" fontId="7" fillId="15" borderId="0" xfId="0" applyFont="1" applyFill="1"/>
    <xf numFmtId="0" fontId="18" fillId="0" borderId="0" xfId="0" applyFont="1"/>
    <xf numFmtId="169" fontId="0" fillId="0" borderId="0" xfId="0" applyNumberFormat="1"/>
    <xf numFmtId="0" fontId="7" fillId="16" borderId="0" xfId="0" applyFont="1" applyFill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2" fontId="7" fillId="0" borderId="0" xfId="0" applyNumberFormat="1" applyFont="1"/>
    <xf numFmtId="0" fontId="7" fillId="15" borderId="0" xfId="0" applyFont="1" applyFill="1" applyAlignment="1">
      <alignment horizontal="center"/>
    </xf>
    <xf numFmtId="170" fontId="0" fillId="17" borderId="0" xfId="0" applyNumberFormat="1" applyFill="1"/>
    <xf numFmtId="172" fontId="0" fillId="17" borderId="0" xfId="0" applyNumberFormat="1" applyFill="1"/>
    <xf numFmtId="0" fontId="17" fillId="14" borderId="0" xfId="0" applyFont="1" applyFill="1" applyAlignment="1">
      <alignment horizontal="center"/>
    </xf>
    <xf numFmtId="0" fontId="17" fillId="1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C0B6B3C-00FE-4434-A31C-FC3CD43147A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f881a7-7c89-4ddd-b335-b292b846a06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/>
  </sheetViews>
  <sheetFormatPr defaultRowHeight="13.8"/>
  <cols>
    <col min="1" max="1" width="38.8984375" customWidth="1"/>
    <col min="2" max="4" width="11" customWidth="1"/>
    <col min="5" max="7" width="11.19921875" customWidth="1"/>
    <col min="8" max="22" width="12.3984375" customWidth="1"/>
  </cols>
  <sheetData>
    <row r="1" spans="1: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 spans="1:22">
      <c r="A2" t="s">
        <v>22</v>
      </c>
      <c r="B2" s="1">
        <f>Source_IS_YTD!B3</f>
        <v>647085002</v>
      </c>
      <c r="C2" s="1">
        <f>Source_IS_YTD!C3-Source_IS_YTD!B3</f>
        <v>669915686</v>
      </c>
      <c r="D2" s="1">
        <f>Source_IS_YTD!D3-Source_IS_YTD!C3</f>
        <v>956091138</v>
      </c>
      <c r="E2" s="1">
        <f>Source_IS_YTD!E3-Source_IS_YTD!D3</f>
        <v>1087418279</v>
      </c>
      <c r="F2" s="1">
        <f>Source_IS_YTD!F3</f>
        <v>1121684905</v>
      </c>
      <c r="G2" s="1">
        <f>Source_IS_YTD!G3-Source_IS_YTD!F3</f>
        <v>1151921937</v>
      </c>
      <c r="H2" s="1">
        <f>Source_IS_YTD!H3-Source_IS_YTD!G3</f>
        <v>1618784913</v>
      </c>
      <c r="I2" s="1">
        <f>Source_IS_YTD!I3-Source_IS_YTD!H3</f>
        <v>1325481691</v>
      </c>
      <c r="J2" s="1">
        <f>Source_IS_YTD!J3</f>
        <v>1747362702</v>
      </c>
      <c r="K2" s="1">
        <f>Source_IS_YTD!K3-Source_IS_YTD!J3</f>
        <v>1573422003</v>
      </c>
      <c r="L2" s="1">
        <f>Source_IS_YTD!L3-Source_IS_YTD!K3</f>
        <v>2001158654</v>
      </c>
      <c r="M2" s="1">
        <f>Source_IS_YTD!M3-Source_IS_YTD!L3</f>
        <v>2182506511</v>
      </c>
      <c r="N2" s="1">
        <f>Source_IS_YTD!N3</f>
        <v>2282168947</v>
      </c>
      <c r="O2" s="1">
        <f>Source_IS_YTD!O3-Source_IS_YTD!N3</f>
        <v>2064394735</v>
      </c>
      <c r="P2" s="1">
        <f>Source_IS_YTD!P3-Source_IS_YTD!O3</f>
        <v>2543891873</v>
      </c>
      <c r="Q2" s="1">
        <f>Source_IS_YTD!Q3-Source_IS_YTD!P3</f>
        <v>2335518198</v>
      </c>
      <c r="R2" s="1">
        <f>Source_IS_YTD!R3</f>
        <v>2251517916</v>
      </c>
      <c r="S2" s="1">
        <f>Source_IS_YTD!S3-Source_IS_YTD!R3</f>
        <v>2004005941</v>
      </c>
      <c r="T2" s="1">
        <f>Source_IS_YTD!T3-Source_IS_YTD!S3</f>
        <v>2722870246</v>
      </c>
      <c r="U2" s="1">
        <f>Source_IS_YTD!U3-Source_IS_YTD!T3</f>
        <v>2412014296</v>
      </c>
      <c r="V2" s="1">
        <f>Source_IS_YTD!V3</f>
        <v>2559035323</v>
      </c>
    </row>
    <row r="3" spans="1:22">
      <c r="A3" t="s">
        <v>23</v>
      </c>
      <c r="B3" s="1">
        <f>Source_IS_YTD!B4</f>
        <v>-514371833</v>
      </c>
      <c r="C3" s="1">
        <f>Source_IS_YTD!C4-Source_IS_YTD!B4</f>
        <v>-529748694</v>
      </c>
      <c r="D3" s="1">
        <f>Source_IS_YTD!D4-Source_IS_YTD!C4</f>
        <v>-733267728</v>
      </c>
      <c r="E3" s="1">
        <f>Source_IS_YTD!E4-Source_IS_YTD!D4</f>
        <v>-830042306</v>
      </c>
      <c r="F3" s="1">
        <f>Source_IS_YTD!F4</f>
        <v>-852271975</v>
      </c>
      <c r="G3" s="1">
        <f>Source_IS_YTD!G4-Source_IS_YTD!F4</f>
        <v>-868134441</v>
      </c>
      <c r="H3" s="1">
        <f>Source_IS_YTD!H4-Source_IS_YTD!G4</f>
        <v>-1017755998</v>
      </c>
      <c r="I3" s="1">
        <f>Source_IS_YTD!I4-Source_IS_YTD!H4</f>
        <v>-1208467520</v>
      </c>
      <c r="J3" s="1">
        <f>Source_IS_YTD!J4</f>
        <v>0</v>
      </c>
      <c r="K3" s="1">
        <f>Source_IS_YTD!K4-Source_IS_YTD!J4</f>
        <v>0</v>
      </c>
      <c r="L3" s="1">
        <f>Source_IS_YTD!L4-Source_IS_YTD!K4</f>
        <v>-4022489064</v>
      </c>
      <c r="M3" s="1">
        <f>Source_IS_YTD!M4-Source_IS_YTD!L4</f>
        <v>-1902246188</v>
      </c>
      <c r="N3" s="1">
        <f>Source_IS_YTD!N4</f>
        <v>-1788008019</v>
      </c>
      <c r="O3" s="1">
        <f>Source_IS_YTD!O4-Source_IS_YTD!N4</f>
        <v>-1572324964</v>
      </c>
      <c r="P3" s="1">
        <f>Source_IS_YTD!P4-Source_IS_YTD!O4</f>
        <v>-1931185725</v>
      </c>
      <c r="Q3" s="1">
        <f>Source_IS_YTD!Q4-Source_IS_YTD!P4</f>
        <v>-1797018335</v>
      </c>
      <c r="R3" s="1">
        <f>Source_IS_YTD!R4</f>
        <v>-1743543118</v>
      </c>
      <c r="S3" s="1">
        <f>Source_IS_YTD!S4-Source_IS_YTD!R4</f>
        <v>-1536388550</v>
      </c>
      <c r="T3" s="1">
        <f>Source_IS_YTD!T4-Source_IS_YTD!S4</f>
        <v>-2057323731</v>
      </c>
      <c r="U3" s="1">
        <f>Source_IS_YTD!U4-Source_IS_YTD!T4</f>
        <v>-1780059187</v>
      </c>
      <c r="V3" s="1">
        <f>Source_IS_YTD!V4</f>
        <v>-1935278800</v>
      </c>
    </row>
    <row r="4" spans="1:22">
      <c r="A4" t="s">
        <v>24</v>
      </c>
      <c r="B4" s="1">
        <f>Source_IS_YTD!B5</f>
        <v>-120289255</v>
      </c>
      <c r="C4" s="1">
        <f>Source_IS_YTD!C5-Source_IS_YTD!B5</f>
        <v>-135634503</v>
      </c>
      <c r="D4" s="1">
        <f>Source_IS_YTD!D5-Source_IS_YTD!C5</f>
        <v>-145035872</v>
      </c>
      <c r="E4" s="1">
        <f>Source_IS_YTD!E5-Source_IS_YTD!D5</f>
        <v>-166765245</v>
      </c>
      <c r="F4" s="1">
        <f>Source_IS_YTD!F5</f>
        <v>-162744974</v>
      </c>
      <c r="G4" s="1">
        <f>Source_IS_YTD!G5-Source_IS_YTD!F5</f>
        <v>-179968793</v>
      </c>
      <c r="H4" s="1">
        <f>Source_IS_YTD!H5-Source_IS_YTD!G5</f>
        <v>-288616472</v>
      </c>
      <c r="I4" s="1">
        <f>Source_IS_YTD!I5-Source_IS_YTD!H5</f>
        <v>-125955226</v>
      </c>
      <c r="J4" s="1">
        <f>Source_IS_YTD!J5</f>
        <v>-209420407</v>
      </c>
      <c r="K4" s="1">
        <f>Source_IS_YTD!K5-Source_IS_YTD!J5</f>
        <v>-230482112</v>
      </c>
      <c r="L4" s="1">
        <f>Source_IS_YTD!L5-Source_IS_YTD!K5</f>
        <v>-232013315</v>
      </c>
      <c r="M4" s="1">
        <f>Source_IS_YTD!M5-Source_IS_YTD!L5</f>
        <v>-63366353</v>
      </c>
      <c r="N4" s="1">
        <f>Source_IS_YTD!N5</f>
        <v>-242606070</v>
      </c>
      <c r="O4" s="1">
        <f>Source_IS_YTD!O5-Source_IS_YTD!N5</f>
        <v>-232067973</v>
      </c>
      <c r="P4" s="1">
        <f>Source_IS_YTD!P5-Source_IS_YTD!O5</f>
        <v>-268568000</v>
      </c>
      <c r="Q4" s="1">
        <f>Source_IS_YTD!Q5-Source_IS_YTD!P5</f>
        <v>-298434564</v>
      </c>
      <c r="R4" s="1">
        <f>Source_IS_YTD!R5</f>
        <v>-247909481</v>
      </c>
      <c r="S4" s="1">
        <f>Source_IS_YTD!S5-Source_IS_YTD!R5</f>
        <v>-401348842</v>
      </c>
      <c r="T4" s="1">
        <f>Source_IS_YTD!T5-Source_IS_YTD!S5</f>
        <v>-414626235</v>
      </c>
      <c r="U4" s="1">
        <f>Source_IS_YTD!U5-Source_IS_YTD!T5</f>
        <v>-455924139</v>
      </c>
      <c r="V4" s="1">
        <f>Source_IS_YTD!V5</f>
        <v>-405466627</v>
      </c>
    </row>
    <row r="5" spans="1:22">
      <c r="A5" t="s">
        <v>25</v>
      </c>
      <c r="B5" s="1">
        <f>Source_IS_YTD!B6</f>
        <v>-12881777</v>
      </c>
      <c r="C5" s="1">
        <f>Source_IS_YTD!C6-Source_IS_YTD!B6</f>
        <v>-13497687</v>
      </c>
      <c r="D5" s="1">
        <f>Source_IS_YTD!D6-Source_IS_YTD!C6</f>
        <v>-13479490</v>
      </c>
      <c r="E5" s="1">
        <f>Source_IS_YTD!E6-Source_IS_YTD!D6</f>
        <v>-18804674</v>
      </c>
      <c r="F5" s="1">
        <f>Source_IS_YTD!F6</f>
        <v>-18098216</v>
      </c>
      <c r="G5" s="1">
        <f>Source_IS_YTD!G6-Source_IS_YTD!F6</f>
        <v>13199815</v>
      </c>
      <c r="H5" s="1">
        <f>Source_IS_YTD!H6-Source_IS_YTD!G6</f>
        <v>-61857534</v>
      </c>
      <c r="I5" s="1">
        <f>Source_IS_YTD!I6-Source_IS_YTD!H6</f>
        <v>-18072894</v>
      </c>
      <c r="J5" s="1">
        <f>Source_IS_YTD!J6</f>
        <v>-18097113</v>
      </c>
      <c r="K5" s="1">
        <f>Source_IS_YTD!K6-Source_IS_YTD!J6</f>
        <v>-18609647</v>
      </c>
      <c r="L5" s="1">
        <f>Source_IS_YTD!L6-Source_IS_YTD!K6</f>
        <v>-19045300</v>
      </c>
      <c r="M5" s="1">
        <f>Source_IS_YTD!M6-Source_IS_YTD!L6</f>
        <v>-22303201</v>
      </c>
      <c r="N5" s="1">
        <f>Source_IS_YTD!N6</f>
        <v>-21322676</v>
      </c>
      <c r="O5" s="1">
        <f>Source_IS_YTD!O6-Source_IS_YTD!N6</f>
        <v>-23091038</v>
      </c>
      <c r="P5" s="1">
        <f>Source_IS_YTD!P6-Source_IS_YTD!O6</f>
        <v>-22549558</v>
      </c>
      <c r="Q5" s="1">
        <f>Source_IS_YTD!Q6-Source_IS_YTD!P6</f>
        <v>-27858712</v>
      </c>
      <c r="R5" s="1">
        <f>Source_IS_YTD!R6</f>
        <v>-31325968</v>
      </c>
      <c r="S5" s="1">
        <f>Source_IS_YTD!S6-Source_IS_YTD!R6</f>
        <v>-33945020</v>
      </c>
      <c r="T5" s="1">
        <f>Source_IS_YTD!T6-Source_IS_YTD!S6</f>
        <v>-34414752</v>
      </c>
      <c r="U5" s="1">
        <f>Source_IS_YTD!U6-Source_IS_YTD!T6</f>
        <v>-38967745</v>
      </c>
      <c r="V5" s="1">
        <f>Source_IS_YTD!V6</f>
        <v>-27901748</v>
      </c>
    </row>
    <row r="6" spans="1:22">
      <c r="A6" t="s">
        <v>26</v>
      </c>
      <c r="B6" s="1">
        <f>Source_IS_YTD!B7</f>
        <v>10286699</v>
      </c>
      <c r="C6" s="1">
        <f>Source_IS_YTD!C7-Source_IS_YTD!B7</f>
        <v>2696781</v>
      </c>
      <c r="D6" s="1">
        <f>Source_IS_YTD!D7-Source_IS_YTD!C7</f>
        <v>10382872</v>
      </c>
      <c r="E6" s="1">
        <f>Source_IS_YTD!E7-Source_IS_YTD!D7</f>
        <v>13014792</v>
      </c>
      <c r="F6" s="1">
        <f>Source_IS_YTD!F7</f>
        <v>10496024</v>
      </c>
      <c r="G6" s="1">
        <f>Source_IS_YTD!G7-Source_IS_YTD!F7</f>
        <v>15790822</v>
      </c>
      <c r="H6" s="1">
        <f>Source_IS_YTD!H7-Source_IS_YTD!G7</f>
        <v>17912900</v>
      </c>
      <c r="I6" s="1">
        <f>Source_IS_YTD!I7-Source_IS_YTD!H7</f>
        <v>9091566</v>
      </c>
      <c r="J6" s="1">
        <f>Source_IS_YTD!J7</f>
        <v>13877478</v>
      </c>
      <c r="K6" s="1">
        <f>Source_IS_YTD!K7-Source_IS_YTD!J7</f>
        <v>28079469</v>
      </c>
      <c r="L6" s="1">
        <f>Source_IS_YTD!L7-Source_IS_YTD!K7</f>
        <v>38176669</v>
      </c>
      <c r="M6" s="1">
        <f>Source_IS_YTD!M7-Source_IS_YTD!L7</f>
        <v>31672755</v>
      </c>
      <c r="N6" s="1">
        <f>Source_IS_YTD!N7</f>
        <v>17126026</v>
      </c>
      <c r="O6" s="1">
        <f>Source_IS_YTD!O7-Source_IS_YTD!N7</f>
        <v>22531707</v>
      </c>
      <c r="P6" s="1">
        <f>Source_IS_YTD!P7-Source_IS_YTD!O7</f>
        <v>30677641</v>
      </c>
      <c r="Q6" s="1">
        <f>Source_IS_YTD!Q7-Source_IS_YTD!P7</f>
        <v>17143015</v>
      </c>
      <c r="R6" s="1">
        <f>Source_IS_YTD!R7</f>
        <v>32038633</v>
      </c>
      <c r="S6" s="1">
        <f>Source_IS_YTD!S7-Source_IS_YTD!R7</f>
        <v>28296741</v>
      </c>
      <c r="T6" s="1">
        <f>Source_IS_YTD!T7-Source_IS_YTD!S7</f>
        <v>33100904</v>
      </c>
      <c r="U6" s="1">
        <f>Source_IS_YTD!U7-Source_IS_YTD!T7</f>
        <v>29586628</v>
      </c>
      <c r="V6" s="1">
        <f>Source_IS_YTD!V7</f>
        <v>49369500</v>
      </c>
    </row>
    <row r="7" spans="1:22">
      <c r="A7" t="s">
        <v>27</v>
      </c>
      <c r="B7" s="1">
        <f>Source_IS_YTD!B8</f>
        <v>0</v>
      </c>
      <c r="C7" s="1">
        <f>Source_IS_YTD!C8-Source_IS_YTD!B8</f>
        <v>0</v>
      </c>
      <c r="D7" s="1">
        <f>Source_IS_YTD!D8-Source_IS_YTD!C8</f>
        <v>0</v>
      </c>
      <c r="E7" s="1">
        <f>Source_IS_YTD!E8-Source_IS_YTD!D8</f>
        <v>0</v>
      </c>
      <c r="F7" s="1">
        <f>Source_IS_YTD!F8</f>
        <v>0</v>
      </c>
      <c r="G7" s="1">
        <f>Source_IS_YTD!G8-Source_IS_YTD!F8</f>
        <v>0</v>
      </c>
      <c r="H7" s="1">
        <f>Source_IS_YTD!H8-Source_IS_YTD!G8</f>
        <v>0</v>
      </c>
      <c r="I7" s="1">
        <f>Source_IS_YTD!I8-Source_IS_YTD!H8</f>
        <v>0</v>
      </c>
      <c r="J7" s="1">
        <f>Source_IS_YTD!J8</f>
        <v>0</v>
      </c>
      <c r="K7" s="1">
        <f>Source_IS_YTD!K8-Source_IS_YTD!J8</f>
        <v>0</v>
      </c>
      <c r="L7" s="1">
        <f>Source_IS_YTD!L8-Source_IS_YTD!K8</f>
        <v>0</v>
      </c>
      <c r="M7" s="1">
        <f>Source_IS_YTD!M8-Source_IS_YTD!L8</f>
        <v>-653158</v>
      </c>
      <c r="N7" s="1">
        <f>Source_IS_YTD!N8</f>
        <v>0</v>
      </c>
      <c r="O7" s="1">
        <f>Source_IS_YTD!O8-Source_IS_YTD!N8</f>
        <v>0</v>
      </c>
      <c r="P7" s="1">
        <f>Source_IS_YTD!P8-Source_IS_YTD!O8</f>
        <v>0</v>
      </c>
      <c r="Q7" s="1">
        <f>Source_IS_YTD!Q8-Source_IS_YTD!P8</f>
        <v>-32614</v>
      </c>
      <c r="R7" s="1">
        <f>Source_IS_YTD!R8</f>
        <v>0</v>
      </c>
      <c r="S7" s="1">
        <f>Source_IS_YTD!S8-Source_IS_YTD!R8</f>
        <v>0</v>
      </c>
      <c r="T7" s="1">
        <f>Source_IS_YTD!T8-Source_IS_YTD!S8</f>
        <v>0</v>
      </c>
      <c r="U7" s="1">
        <f>Source_IS_YTD!U8-Source_IS_YTD!T8</f>
        <v>0</v>
      </c>
      <c r="V7" s="1">
        <f>Source_IS_YTD!V8</f>
        <v>0</v>
      </c>
    </row>
    <row r="8" spans="1:22">
      <c r="A8" t="s">
        <v>28</v>
      </c>
      <c r="B8" s="1">
        <f>Source_IS_YTD!B9</f>
        <v>0</v>
      </c>
      <c r="C8" s="1">
        <f>Source_IS_YTD!C9-Source_IS_YTD!B9</f>
        <v>0</v>
      </c>
      <c r="D8" s="1">
        <f>Source_IS_YTD!D9-Source_IS_YTD!C9</f>
        <v>0</v>
      </c>
      <c r="E8" s="1">
        <f>Source_IS_YTD!E9-Source_IS_YTD!D9</f>
        <v>0</v>
      </c>
      <c r="F8" s="1">
        <f>Source_IS_YTD!F9</f>
        <v>0</v>
      </c>
      <c r="G8" s="1">
        <f>Source_IS_YTD!G9-Source_IS_YTD!F9</f>
        <v>0</v>
      </c>
      <c r="H8" s="1">
        <f>Source_IS_YTD!H9-Source_IS_YTD!G9</f>
        <v>0</v>
      </c>
      <c r="I8" s="1">
        <f>Source_IS_YTD!I9-Source_IS_YTD!H9</f>
        <v>0</v>
      </c>
      <c r="J8" s="1">
        <f>Source_IS_YTD!J9</f>
        <v>0</v>
      </c>
      <c r="K8" s="1">
        <f>Source_IS_YTD!K9-Source_IS_YTD!J9</f>
        <v>0</v>
      </c>
      <c r="L8" s="1">
        <f>Source_IS_YTD!L9-Source_IS_YTD!K9</f>
        <v>0</v>
      </c>
      <c r="M8" s="1">
        <f>Source_IS_YTD!M9-Source_IS_YTD!L9</f>
        <v>5969392</v>
      </c>
      <c r="N8" s="1">
        <f>Source_IS_YTD!N9</f>
        <v>0</v>
      </c>
      <c r="O8" s="1">
        <f>Source_IS_YTD!O9-Source_IS_YTD!N9</f>
        <v>0</v>
      </c>
      <c r="P8" s="1">
        <f>Source_IS_YTD!P9-Source_IS_YTD!O9</f>
        <v>0</v>
      </c>
      <c r="Q8" s="1">
        <f>Source_IS_YTD!Q9-Source_IS_YTD!P9</f>
        <v>0</v>
      </c>
      <c r="R8" s="1">
        <f>Source_IS_YTD!R9</f>
        <v>0</v>
      </c>
      <c r="S8" s="1">
        <f>Source_IS_YTD!S9-Source_IS_YTD!R9</f>
        <v>0</v>
      </c>
      <c r="T8" s="1">
        <f>Source_IS_YTD!T9-Source_IS_YTD!S9</f>
        <v>0</v>
      </c>
      <c r="U8" s="1">
        <f>Source_IS_YTD!U9-Source_IS_YTD!T9</f>
        <v>22212609</v>
      </c>
      <c r="V8" s="1">
        <f>Source_IS_YTD!V9</f>
        <v>0</v>
      </c>
    </row>
    <row r="9" spans="1:22">
      <c r="A9" t="s">
        <v>29</v>
      </c>
      <c r="B9" s="1">
        <f>Source_IS_YTD!B10</f>
        <v>0</v>
      </c>
      <c r="C9" s="1">
        <f>Source_IS_YTD!C10-Source_IS_YTD!B10</f>
        <v>0</v>
      </c>
      <c r="D9" s="1">
        <f>Source_IS_YTD!D10-Source_IS_YTD!C10</f>
        <v>0</v>
      </c>
      <c r="E9" s="1">
        <f>Source_IS_YTD!E10-Source_IS_YTD!D10</f>
        <v>0</v>
      </c>
      <c r="F9" s="1">
        <f>Source_IS_YTD!F10</f>
        <v>0</v>
      </c>
      <c r="G9" s="1">
        <f>Source_IS_YTD!G10-Source_IS_YTD!F10</f>
        <v>0</v>
      </c>
      <c r="H9" s="1">
        <f>Source_IS_YTD!H10-Source_IS_YTD!G10</f>
        <v>0</v>
      </c>
      <c r="I9" s="1">
        <f>Source_IS_YTD!I10-Source_IS_YTD!H10</f>
        <v>0</v>
      </c>
      <c r="J9" s="1">
        <f>Source_IS_YTD!J10</f>
        <v>0</v>
      </c>
      <c r="K9" s="1">
        <f>Source_IS_YTD!K10-Source_IS_YTD!J10</f>
        <v>0</v>
      </c>
      <c r="L9" s="1">
        <f>Source_IS_YTD!L10-Source_IS_YTD!K10</f>
        <v>0</v>
      </c>
      <c r="M9" s="1">
        <f>Source_IS_YTD!M10-Source_IS_YTD!L10</f>
        <v>0</v>
      </c>
      <c r="N9" s="1">
        <f>Source_IS_YTD!N10</f>
        <v>0</v>
      </c>
      <c r="O9" s="1">
        <f>Source_IS_YTD!O10-Source_IS_YTD!N10</f>
        <v>0</v>
      </c>
      <c r="P9" s="1">
        <f>Source_IS_YTD!P10-Source_IS_YTD!O10</f>
        <v>0</v>
      </c>
      <c r="Q9" s="1">
        <f>Source_IS_YTD!Q10-Source_IS_YTD!P10</f>
        <v>0</v>
      </c>
      <c r="R9" s="1">
        <f>Source_IS_YTD!R10</f>
        <v>0</v>
      </c>
      <c r="S9" s="1">
        <f>Source_IS_YTD!S10-Source_IS_YTD!R10</f>
        <v>0</v>
      </c>
      <c r="T9" s="1">
        <f>Source_IS_YTD!T10-Source_IS_YTD!S10</f>
        <v>0</v>
      </c>
      <c r="U9" s="1">
        <f>Source_IS_YTD!U10-Source_IS_YTD!T10</f>
        <v>-958044</v>
      </c>
      <c r="V9" s="1">
        <f>Source_IS_YTD!V10</f>
        <v>0</v>
      </c>
    </row>
    <row r="10" spans="1:22">
      <c r="A10" t="s">
        <v>30</v>
      </c>
      <c r="B10" s="1">
        <f>Source_IS_YTD!B11</f>
        <v>0</v>
      </c>
      <c r="C10" s="1">
        <f>Source_IS_YTD!C11-Source_IS_YTD!B11</f>
        <v>0</v>
      </c>
      <c r="D10" s="1">
        <f>Source_IS_YTD!D11-Source_IS_YTD!C11</f>
        <v>0</v>
      </c>
      <c r="E10" s="1">
        <f>Source_IS_YTD!E11-Source_IS_YTD!D11</f>
        <v>0</v>
      </c>
      <c r="F10" s="1">
        <f>Source_IS_YTD!F11</f>
        <v>0</v>
      </c>
      <c r="G10" s="1">
        <f>Source_IS_YTD!G11-Source_IS_YTD!F11</f>
        <v>0</v>
      </c>
      <c r="H10" s="1">
        <f>Source_IS_YTD!H11-Source_IS_YTD!G11</f>
        <v>0</v>
      </c>
      <c r="I10" s="1">
        <f>Source_IS_YTD!I11-Source_IS_YTD!H11</f>
        <v>0</v>
      </c>
      <c r="J10" s="1">
        <f>Source_IS_YTD!J11</f>
        <v>0</v>
      </c>
      <c r="K10" s="1">
        <f>Source_IS_YTD!K11-Source_IS_YTD!J11</f>
        <v>0</v>
      </c>
      <c r="L10" s="1">
        <f>Source_IS_YTD!L11-Source_IS_YTD!K11</f>
        <v>0</v>
      </c>
      <c r="M10" s="1">
        <f>Source_IS_YTD!M11-Source_IS_YTD!L11</f>
        <v>-42528993</v>
      </c>
      <c r="N10" s="1">
        <f>Source_IS_YTD!N11</f>
        <v>0</v>
      </c>
      <c r="O10" s="1">
        <f>Source_IS_YTD!O11-Source_IS_YTD!N11</f>
        <v>0</v>
      </c>
      <c r="P10" s="1">
        <f>Source_IS_YTD!P11-Source_IS_YTD!O11</f>
        <v>0</v>
      </c>
      <c r="Q10" s="1">
        <f>Source_IS_YTD!Q11-Source_IS_YTD!P11</f>
        <v>-36334577</v>
      </c>
      <c r="R10" s="1">
        <f>Source_IS_YTD!R11</f>
        <v>0</v>
      </c>
      <c r="S10" s="1">
        <f>Source_IS_YTD!S11-Source_IS_YTD!R11</f>
        <v>0</v>
      </c>
      <c r="T10" s="1">
        <f>Source_IS_YTD!T11-Source_IS_YTD!S11</f>
        <v>0</v>
      </c>
      <c r="U10" s="1">
        <f>Source_IS_YTD!U11-Source_IS_YTD!T11</f>
        <v>-14836690</v>
      </c>
      <c r="V10" s="1">
        <f>Source_IS_YTD!V11</f>
        <v>-5710130</v>
      </c>
    </row>
    <row r="11" spans="1:22">
      <c r="A11" t="s">
        <v>31</v>
      </c>
      <c r="B11" s="1">
        <f>Source_IS_YTD!B12</f>
        <v>-346949</v>
      </c>
      <c r="C11" s="1">
        <f>Source_IS_YTD!C12-Source_IS_YTD!B12</f>
        <v>42170</v>
      </c>
      <c r="D11" s="1">
        <f>Source_IS_YTD!D12-Source_IS_YTD!C12</f>
        <v>-153600</v>
      </c>
      <c r="E11" s="1">
        <f>Source_IS_YTD!E12-Source_IS_YTD!D12</f>
        <v>234523</v>
      </c>
      <c r="F11" s="1">
        <f>Source_IS_YTD!F12</f>
        <v>-552700</v>
      </c>
      <c r="G11" s="1">
        <f>Source_IS_YTD!G12-Source_IS_YTD!F12</f>
        <v>-30512700</v>
      </c>
      <c r="H11" s="1">
        <f>Source_IS_YTD!H12-Source_IS_YTD!G12</f>
        <v>-170652700</v>
      </c>
      <c r="I11" s="1">
        <f>Source_IS_YTD!I12-Source_IS_YTD!H12</f>
        <v>183161498</v>
      </c>
      <c r="J11" s="1">
        <f>Source_IS_YTD!J12</f>
        <v>-1294965696</v>
      </c>
      <c r="K11" s="1">
        <f>Source_IS_YTD!K12-Source_IS_YTD!J12</f>
        <v>-1165280489</v>
      </c>
      <c r="L11" s="1">
        <f>Source_IS_YTD!L12-Source_IS_YTD!K12</f>
        <v>2440769012</v>
      </c>
      <c r="M11" s="1">
        <f>Source_IS_YTD!M12-Source_IS_YTD!L12</f>
        <v>19477173</v>
      </c>
      <c r="N11" s="1">
        <f>Source_IS_YTD!N12</f>
        <v>-10992862</v>
      </c>
      <c r="O11" s="1">
        <f>Source_IS_YTD!O12-Source_IS_YTD!N12</f>
        <v>-7769177</v>
      </c>
      <c r="P11" s="1">
        <f>Source_IS_YTD!P12-Source_IS_YTD!O12</f>
        <v>-10075081</v>
      </c>
      <c r="Q11" s="1">
        <f>Source_IS_YTD!Q12-Source_IS_YTD!P12</f>
        <v>28837120</v>
      </c>
      <c r="R11" s="1">
        <f>Source_IS_YTD!R12</f>
        <v>-102721579</v>
      </c>
      <c r="S11" s="1">
        <f>Source_IS_YTD!S12-Source_IS_YTD!R12</f>
        <v>99257968</v>
      </c>
      <c r="T11" s="1">
        <f>Source_IS_YTD!T12-Source_IS_YTD!S12</f>
        <v>13880133</v>
      </c>
      <c r="U11" s="1">
        <f>Source_IS_YTD!U12-Source_IS_YTD!T12</f>
        <v>-10416522</v>
      </c>
      <c r="V11" s="1">
        <f>Source_IS_YTD!V12</f>
        <v>-8</v>
      </c>
    </row>
    <row r="12" spans="1:22">
      <c r="A12" t="s">
        <v>32</v>
      </c>
      <c r="B12" s="1">
        <f>Source_IS_YTD!B13</f>
        <v>8152414</v>
      </c>
      <c r="C12" s="1">
        <f>Source_IS_YTD!C13-Source_IS_YTD!B13</f>
        <v>9200218</v>
      </c>
      <c r="D12" s="1">
        <f>Source_IS_YTD!D13-Source_IS_YTD!C13</f>
        <v>9792436</v>
      </c>
      <c r="E12" s="1">
        <f>Source_IS_YTD!E13-Source_IS_YTD!D13</f>
        <v>10004712</v>
      </c>
      <c r="F12" s="1">
        <f>Source_IS_YTD!F13</f>
        <v>8415675</v>
      </c>
      <c r="G12" s="1">
        <f>Source_IS_YTD!G13-Source_IS_YTD!F13</f>
        <v>6446968</v>
      </c>
      <c r="H12" s="1">
        <f>Source_IS_YTD!H13-Source_IS_YTD!G13</f>
        <v>9598683</v>
      </c>
      <c r="I12" s="1">
        <f>Source_IS_YTD!I13-Source_IS_YTD!H13</f>
        <v>14586926</v>
      </c>
      <c r="J12" s="1">
        <f>Source_IS_YTD!J13</f>
        <v>23181914</v>
      </c>
      <c r="K12" s="1">
        <f>Source_IS_YTD!K13-Source_IS_YTD!J13</f>
        <v>18423973</v>
      </c>
      <c r="L12" s="1">
        <f>Source_IS_YTD!L13-Source_IS_YTD!K13</f>
        <v>11961354</v>
      </c>
      <c r="M12" s="1">
        <f>Source_IS_YTD!M13-Source_IS_YTD!L13</f>
        <v>7818986</v>
      </c>
      <c r="N12" s="1">
        <f>Source_IS_YTD!N13</f>
        <v>20777958</v>
      </c>
      <c r="O12" s="1">
        <f>Source_IS_YTD!O13-Source_IS_YTD!N13</f>
        <v>13123072</v>
      </c>
      <c r="P12" s="1">
        <f>Source_IS_YTD!P13-Source_IS_YTD!O13</f>
        <v>9422631</v>
      </c>
      <c r="Q12" s="1">
        <f>Source_IS_YTD!Q13-Source_IS_YTD!P13</f>
        <v>9915273</v>
      </c>
      <c r="R12" s="1">
        <f>Source_IS_YTD!R13</f>
        <v>10451435</v>
      </c>
      <c r="S12" s="1">
        <f>Source_IS_YTD!S13-Source_IS_YTD!R13</f>
        <v>5705201</v>
      </c>
      <c r="T12" s="1">
        <f>Source_IS_YTD!T13-Source_IS_YTD!S13</f>
        <v>0</v>
      </c>
      <c r="U12" s="1">
        <f>Source_IS_YTD!U13-Source_IS_YTD!T13</f>
        <v>1249308</v>
      </c>
      <c r="V12" s="1">
        <f>Source_IS_YTD!V13</f>
        <v>2846843</v>
      </c>
    </row>
    <row r="13" spans="1:22">
      <c r="A13" t="s">
        <v>33</v>
      </c>
      <c r="B13" s="1">
        <f>Source_IS_YTD!B14</f>
        <v>-19487746</v>
      </c>
      <c r="C13" s="1">
        <f>Source_IS_YTD!C14-Source_IS_YTD!B14</f>
        <v>-25516245</v>
      </c>
      <c r="D13" s="1">
        <f>Source_IS_YTD!D14-Source_IS_YTD!C14</f>
        <v>-27238588</v>
      </c>
      <c r="E13" s="1">
        <f>Source_IS_YTD!E14-Source_IS_YTD!D14</f>
        <v>-24639086</v>
      </c>
      <c r="F13" s="1">
        <f>Source_IS_YTD!F14</f>
        <v>-36058562</v>
      </c>
      <c r="G13" s="1">
        <f>Source_IS_YTD!G14-Source_IS_YTD!F14</f>
        <v>-27372719</v>
      </c>
      <c r="H13" s="1">
        <f>Source_IS_YTD!H14-Source_IS_YTD!G14</f>
        <v>-32270691</v>
      </c>
      <c r="I13" s="1">
        <f>Source_IS_YTD!I14-Source_IS_YTD!H14</f>
        <v>-25281914</v>
      </c>
      <c r="J13" s="1">
        <f>Source_IS_YTD!J14</f>
        <v>-60788910</v>
      </c>
      <c r="K13" s="1">
        <f>Source_IS_YTD!K14-Source_IS_YTD!J14</f>
        <v>-69575540</v>
      </c>
      <c r="L13" s="1">
        <f>Source_IS_YTD!L14-Source_IS_YTD!K14</f>
        <v>-77449097</v>
      </c>
      <c r="M13" s="1">
        <f>Source_IS_YTD!M14-Source_IS_YTD!L14</f>
        <v>-76733444</v>
      </c>
      <c r="N13" s="1">
        <f>Source_IS_YTD!N14</f>
        <v>-50398834</v>
      </c>
      <c r="O13" s="1">
        <f>Source_IS_YTD!O14-Source_IS_YTD!N14</f>
        <v>-142327937</v>
      </c>
      <c r="P13" s="1">
        <f>Source_IS_YTD!P14-Source_IS_YTD!O14</f>
        <v>-125551716</v>
      </c>
      <c r="Q13" s="1">
        <f>Source_IS_YTD!Q14-Source_IS_YTD!P14</f>
        <v>-101692389</v>
      </c>
      <c r="R13" s="1">
        <f>Source_IS_YTD!R14</f>
        <v>-145907163</v>
      </c>
      <c r="S13" s="1">
        <f>Source_IS_YTD!S14-Source_IS_YTD!R14</f>
        <v>-150582657</v>
      </c>
      <c r="T13" s="1">
        <f>Source_IS_YTD!T14-Source_IS_YTD!S14</f>
        <v>-120987527</v>
      </c>
      <c r="U13" s="1">
        <f>Source_IS_YTD!U14-Source_IS_YTD!T14</f>
        <v>-93728335</v>
      </c>
      <c r="V13" s="1">
        <f>Source_IS_YTD!V14</f>
        <v>-134215084</v>
      </c>
    </row>
    <row r="14" spans="1:22">
      <c r="A14" t="s">
        <v>34</v>
      </c>
      <c r="B14" s="1">
        <f>Source_IS_YTD!B15</f>
        <v>0</v>
      </c>
      <c r="C14" s="1">
        <f>Source_IS_YTD!C15-Source_IS_YTD!B15</f>
        <v>0</v>
      </c>
      <c r="D14" s="1">
        <f>Source_IS_YTD!D15-Source_IS_YTD!C15</f>
        <v>0</v>
      </c>
      <c r="E14" s="1">
        <f>Source_IS_YTD!E15-Source_IS_YTD!D15</f>
        <v>0</v>
      </c>
      <c r="F14" s="1">
        <f>Source_IS_YTD!F15</f>
        <v>0</v>
      </c>
      <c r="G14" s="1">
        <f>Source_IS_YTD!G15-Source_IS_YTD!F15</f>
        <v>-152241066</v>
      </c>
      <c r="H14" s="1">
        <f>Source_IS_YTD!H15-Source_IS_YTD!G15</f>
        <v>-75143101</v>
      </c>
      <c r="I14" s="1">
        <f>Source_IS_YTD!I15-Source_IS_YTD!H15</f>
        <v>209507280</v>
      </c>
      <c r="J14" s="1">
        <f>Source_IS_YTD!J15</f>
        <v>100000000</v>
      </c>
      <c r="K14" s="1">
        <f>Source_IS_YTD!K15-Source_IS_YTD!J15</f>
        <v>-100000000</v>
      </c>
      <c r="L14" s="1">
        <f>Source_IS_YTD!L15-Source_IS_YTD!K15</f>
        <v>0</v>
      </c>
      <c r="M14" s="1">
        <f>Source_IS_YTD!M15-Source_IS_YTD!L15</f>
        <v>0</v>
      </c>
      <c r="N14" s="1">
        <f>Source_IS_YTD!N15</f>
        <v>0</v>
      </c>
      <c r="O14" s="1">
        <f>Source_IS_YTD!O15-Source_IS_YTD!N15</f>
        <v>0</v>
      </c>
      <c r="P14" s="1">
        <f>Source_IS_YTD!P15-Source_IS_YTD!O15</f>
        <v>0</v>
      </c>
      <c r="Q14" s="1">
        <f>Source_IS_YTD!Q15-Source_IS_YTD!P15</f>
        <v>0</v>
      </c>
      <c r="R14" s="1">
        <f>Source_IS_YTD!R15</f>
        <v>50800000</v>
      </c>
      <c r="S14" s="1">
        <f>Source_IS_YTD!S15-Source_IS_YTD!R15</f>
        <v>-50800000</v>
      </c>
      <c r="T14" s="1">
        <f>Source_IS_YTD!T15-Source_IS_YTD!S15</f>
        <v>0</v>
      </c>
      <c r="U14" s="1">
        <f>Source_IS_YTD!U15-Source_IS_YTD!T15</f>
        <v>0</v>
      </c>
      <c r="V14" s="1">
        <f>Source_IS_YTD!V15</f>
        <v>0</v>
      </c>
    </row>
    <row r="15" spans="1:22">
      <c r="A15" t="s">
        <v>35</v>
      </c>
      <c r="B15" s="1">
        <f>Source_IS_YTD!B16</f>
        <v>0</v>
      </c>
      <c r="C15" s="1">
        <f>Source_IS_YTD!C16-Source_IS_YTD!B16</f>
        <v>0</v>
      </c>
      <c r="D15" s="1">
        <f>Source_IS_YTD!D16-Source_IS_YTD!C16</f>
        <v>0</v>
      </c>
      <c r="E15" s="1">
        <f>Source_IS_YTD!E16-Source_IS_YTD!D16</f>
        <v>0</v>
      </c>
      <c r="F15" s="1">
        <f>Source_IS_YTD!F16</f>
        <v>0</v>
      </c>
      <c r="G15" s="1">
        <f>Source_IS_YTD!G16-Source_IS_YTD!F16</f>
        <v>0</v>
      </c>
      <c r="H15" s="1">
        <f>Source_IS_YTD!H16-Source_IS_YTD!G16</f>
        <v>0</v>
      </c>
      <c r="I15" s="1">
        <f>Source_IS_YTD!I16-Source_IS_YTD!H16</f>
        <v>0</v>
      </c>
      <c r="J15" s="1">
        <f>Source_IS_YTD!J16</f>
        <v>0</v>
      </c>
      <c r="K15" s="1">
        <f>Source_IS_YTD!K16-Source_IS_YTD!J16</f>
        <v>0</v>
      </c>
      <c r="L15" s="1">
        <f>Source_IS_YTD!L16-Source_IS_YTD!K16</f>
        <v>0</v>
      </c>
      <c r="M15" s="1">
        <f>Source_IS_YTD!M16-Source_IS_YTD!L16</f>
        <v>-19996861</v>
      </c>
      <c r="N15" s="1">
        <f>Source_IS_YTD!N16</f>
        <v>0</v>
      </c>
      <c r="O15" s="1">
        <f>Source_IS_YTD!O16-Source_IS_YTD!N16</f>
        <v>0</v>
      </c>
      <c r="P15" s="1">
        <f>Source_IS_YTD!P16-Source_IS_YTD!O16</f>
        <v>0</v>
      </c>
      <c r="Q15" s="1">
        <f>Source_IS_YTD!Q16-Source_IS_YTD!P16</f>
        <v>-24619577</v>
      </c>
      <c r="R15" s="1">
        <f>Source_IS_YTD!R16</f>
        <v>0</v>
      </c>
      <c r="S15" s="1">
        <f>Source_IS_YTD!S16-Source_IS_YTD!R16</f>
        <v>0</v>
      </c>
      <c r="T15" s="1">
        <f>Source_IS_YTD!T16-Source_IS_YTD!S16</f>
        <v>0</v>
      </c>
      <c r="U15" s="1">
        <f>Source_IS_YTD!U16-Source_IS_YTD!T16</f>
        <v>-24071682</v>
      </c>
      <c r="V15" s="1">
        <f>Source_IS_YTD!V16</f>
        <v>-6580620</v>
      </c>
    </row>
    <row r="16" spans="1:22">
      <c r="A16" t="s">
        <v>36</v>
      </c>
      <c r="B16" s="1">
        <f>Source_IS_YTD!B17</f>
        <v>1853445</v>
      </c>
      <c r="C16" s="1">
        <f>Source_IS_YTD!C17-Source_IS_YTD!B17</f>
        <v>22542274</v>
      </c>
      <c r="D16" s="1">
        <f>Source_IS_YTD!D17-Source_IS_YTD!C17</f>
        <v>-57091168</v>
      </c>
      <c r="E16" s="1">
        <f>Source_IS_YTD!E17-Source_IS_YTD!D17</f>
        <v>2004746</v>
      </c>
      <c r="F16" s="1">
        <f>Source_IS_YTD!F17</f>
        <v>-70870177</v>
      </c>
      <c r="G16" s="1">
        <f>Source_IS_YTD!G17-Source_IS_YTD!F17</f>
        <v>70870177</v>
      </c>
      <c r="H16" s="1">
        <f>Source_IS_YTD!H17-Source_IS_YTD!G17</f>
        <v>0</v>
      </c>
      <c r="I16" s="1">
        <f>Source_IS_YTD!I17-Source_IS_YTD!H17</f>
        <v>-98349242</v>
      </c>
      <c r="J16" s="1">
        <f>Source_IS_YTD!J17</f>
        <v>-149793567</v>
      </c>
      <c r="K16" s="1">
        <f>Source_IS_YTD!K17-Source_IS_YTD!J17</f>
        <v>-187334058</v>
      </c>
      <c r="L16" s="1">
        <f>Source_IS_YTD!L17-Source_IS_YTD!K17</f>
        <v>-141068913</v>
      </c>
      <c r="M16" s="1">
        <f>Source_IS_YTD!M17-Source_IS_YTD!L17</f>
        <v>334821972</v>
      </c>
      <c r="N16" s="1">
        <f>Source_IS_YTD!N17</f>
        <v>-53441674</v>
      </c>
      <c r="O16" s="1">
        <f>Source_IS_YTD!O17-Source_IS_YTD!N17</f>
        <v>-34708801</v>
      </c>
      <c r="P16" s="1">
        <f>Source_IS_YTD!P17-Source_IS_YTD!O17</f>
        <v>-59547347</v>
      </c>
      <c r="Q16" s="1">
        <f>Source_IS_YTD!Q17-Source_IS_YTD!P17</f>
        <v>-11820315</v>
      </c>
      <c r="R16" s="1">
        <f>Source_IS_YTD!R17</f>
        <v>-62897951</v>
      </c>
      <c r="S16" s="1">
        <f>Source_IS_YTD!S17-Source_IS_YTD!R17</f>
        <v>39962273</v>
      </c>
      <c r="T16" s="1">
        <f>Source_IS_YTD!T17-Source_IS_YTD!S17</f>
        <v>-41690946</v>
      </c>
      <c r="U16" s="1">
        <f>Source_IS_YTD!U17-Source_IS_YTD!T17</f>
        <v>-307539</v>
      </c>
      <c r="V16" s="1">
        <f>Source_IS_YTD!V17</f>
        <v>-27753036</v>
      </c>
    </row>
    <row r="17" spans="1:22">
      <c r="A17" t="s">
        <v>37</v>
      </c>
      <c r="B17" s="1">
        <f>Source_IS_YTD!B18</f>
        <v>-3434487</v>
      </c>
      <c r="C17" s="1">
        <f>Source_IS_YTD!C18-Source_IS_YTD!B18</f>
        <v>-29116980</v>
      </c>
      <c r="D17" s="1">
        <f>Source_IS_YTD!D18-Source_IS_YTD!C18</f>
        <v>52468211</v>
      </c>
      <c r="E17" s="1">
        <f>Source_IS_YTD!E18-Source_IS_YTD!D18</f>
        <v>52507478</v>
      </c>
      <c r="F17" s="1">
        <f>Source_IS_YTD!F18</f>
        <v>50373606</v>
      </c>
      <c r="G17" s="1">
        <f>Source_IS_YTD!G18-Source_IS_YTD!F18</f>
        <v>-50373606</v>
      </c>
      <c r="H17" s="1">
        <f>Source_IS_YTD!H18-Source_IS_YTD!G18</f>
        <v>0</v>
      </c>
      <c r="I17" s="1">
        <f>Source_IS_YTD!I18-Source_IS_YTD!H18</f>
        <v>265701857</v>
      </c>
      <c r="J17" s="1">
        <f>Source_IS_YTD!J18</f>
        <v>0</v>
      </c>
      <c r="K17" s="1">
        <f>Source_IS_YTD!K18-Source_IS_YTD!J18</f>
        <v>252185650</v>
      </c>
      <c r="L17" s="1">
        <f>Source_IS_YTD!L18-Source_IS_YTD!K18</f>
        <v>-252185650</v>
      </c>
      <c r="M17" s="1">
        <f>Source_IS_YTD!M18-Source_IS_YTD!L18</f>
        <v>454438562</v>
      </c>
      <c r="N17" s="1">
        <f>Source_IS_YTD!N18</f>
        <v>153302796</v>
      </c>
      <c r="O17" s="1">
        <f>Source_IS_YTD!O18-Source_IS_YTD!N18</f>
        <v>87759623</v>
      </c>
      <c r="P17" s="1">
        <f>Source_IS_YTD!P18-Source_IS_YTD!O18</f>
        <v>166514713</v>
      </c>
      <c r="Q17" s="1">
        <f>Source_IS_YTD!Q18-Source_IS_YTD!P18</f>
        <v>93602513</v>
      </c>
      <c r="R17" s="1">
        <f>Source_IS_YTD!R18</f>
        <v>10502722</v>
      </c>
      <c r="S17" s="1">
        <f>Source_IS_YTD!S18-Source_IS_YTD!R18</f>
        <v>4163046</v>
      </c>
      <c r="T17" s="1">
        <f>Source_IS_YTD!T18-Source_IS_YTD!S18</f>
        <v>100808076</v>
      </c>
      <c r="U17" s="1">
        <f>Source_IS_YTD!U18-Source_IS_YTD!T18</f>
        <v>45792949</v>
      </c>
      <c r="V17" s="1">
        <f>Source_IS_YTD!V18</f>
        <v>0</v>
      </c>
    </row>
    <row r="18" spans="1:22">
      <c r="A18" t="s">
        <v>38</v>
      </c>
      <c r="B18" s="1">
        <f>Source_IS_YTD!B19</f>
        <v>3434487</v>
      </c>
      <c r="C18" s="1">
        <f>Source_IS_YTD!C19-Source_IS_YTD!B19</f>
        <v>29116980</v>
      </c>
      <c r="D18" s="1">
        <f>Source_IS_YTD!D19-Source_IS_YTD!C19</f>
        <v>-52468211</v>
      </c>
      <c r="E18" s="1">
        <f>Source_IS_YTD!E19-Source_IS_YTD!D19</f>
        <v>19918263</v>
      </c>
      <c r="F18" s="1">
        <f>Source_IS_YTD!F19</f>
        <v>-50373606</v>
      </c>
      <c r="G18" s="1">
        <f>Source_IS_YTD!G19-Source_IS_YTD!F19</f>
        <v>50373606</v>
      </c>
      <c r="H18" s="1">
        <f>Source_IS_YTD!H19-Source_IS_YTD!G19</f>
        <v>0</v>
      </c>
      <c r="I18" s="1">
        <f>Source_IS_YTD!I19-Source_IS_YTD!H19</f>
        <v>308</v>
      </c>
      <c r="J18" s="1">
        <f>Source_IS_YTD!J19</f>
        <v>151356401</v>
      </c>
      <c r="K18" s="1">
        <f>Source_IS_YTD!K19-Source_IS_YTD!J19</f>
        <v>-403542051</v>
      </c>
      <c r="L18" s="1">
        <f>Source_IS_YTD!L19-Source_IS_YTD!K19</f>
        <v>252185650</v>
      </c>
      <c r="M18" s="1">
        <f>Source_IS_YTD!M19-Source_IS_YTD!L19</f>
        <v>29</v>
      </c>
      <c r="N18" s="1">
        <f>Source_IS_YTD!N19</f>
        <v>0</v>
      </c>
      <c r="O18" s="1">
        <f>Source_IS_YTD!O19-Source_IS_YTD!N19</f>
        <v>1</v>
      </c>
      <c r="P18" s="1">
        <f>Source_IS_YTD!P19-Source_IS_YTD!O19</f>
        <v>5</v>
      </c>
      <c r="Q18" s="1">
        <f>Source_IS_YTD!Q19-Source_IS_YTD!P19</f>
        <v>10</v>
      </c>
      <c r="R18" s="1">
        <f>Source_IS_YTD!R19</f>
        <v>2</v>
      </c>
      <c r="S18" s="1">
        <f>Source_IS_YTD!S19-Source_IS_YTD!R19</f>
        <v>9</v>
      </c>
      <c r="T18" s="1">
        <f>Source_IS_YTD!T19-Source_IS_YTD!S19</f>
        <v>16</v>
      </c>
      <c r="U18" s="1">
        <f>Source_IS_YTD!U19-Source_IS_YTD!T19</f>
        <v>9</v>
      </c>
      <c r="V18" s="1">
        <f>Source_IS_YTD!V19</f>
        <v>0</v>
      </c>
    </row>
    <row r="19" spans="1:22">
      <c r="A19" t="s">
        <v>39</v>
      </c>
      <c r="B19" s="17">
        <f>Source_IS_YTD!B20</f>
        <v>0</v>
      </c>
      <c r="C19" s="17">
        <f>Source_IS_YTD!C20-Source_IS_YTD!B20</f>
        <v>0</v>
      </c>
      <c r="D19" s="17">
        <f>Source_IS_YTD!D20-Source_IS_YTD!C20</f>
        <v>0</v>
      </c>
      <c r="E19" s="17">
        <f>Source_IS_YTD!E20-Source_IS_YTD!D20</f>
        <v>0.20899999999999999</v>
      </c>
      <c r="F19" s="17">
        <f>Source_IS_YTD!F20</f>
        <v>0</v>
      </c>
      <c r="G19" s="17">
        <f>Source_IS_YTD!G20-Source_IS_YTD!F20</f>
        <v>0</v>
      </c>
      <c r="H19" s="17">
        <f>Source_IS_YTD!H20-Source_IS_YTD!G20</f>
        <v>0</v>
      </c>
      <c r="I19" s="17">
        <f>Source_IS_YTD!I20-Source_IS_YTD!H20</f>
        <v>0.76</v>
      </c>
      <c r="J19" s="17">
        <f>Source_IS_YTD!J20</f>
        <v>0</v>
      </c>
      <c r="K19" s="17">
        <f>Source_IS_YTD!K20-Source_IS_YTD!J20</f>
        <v>0</v>
      </c>
      <c r="L19" s="17">
        <f>Source_IS_YTD!L20-Source_IS_YTD!K20</f>
        <v>0</v>
      </c>
      <c r="M19" s="17">
        <f>Source_IS_YTD!M20-Source_IS_YTD!L20</f>
        <v>1.3</v>
      </c>
      <c r="N19" s="17">
        <f>Source_IS_YTD!N20</f>
        <v>0.44</v>
      </c>
      <c r="O19" s="17">
        <f>Source_IS_YTD!O20-Source_IS_YTD!N20</f>
        <v>0.24999999999999994</v>
      </c>
      <c r="P19" s="17">
        <f>Source_IS_YTD!P20-Source_IS_YTD!O20</f>
        <v>0.48</v>
      </c>
      <c r="Q19" s="17">
        <f>Source_IS_YTD!Q20-Source_IS_YTD!P20</f>
        <v>0.27</v>
      </c>
      <c r="R19" s="17">
        <f>Source_IS_YTD!R20</f>
        <v>0.03</v>
      </c>
      <c r="S19" s="17">
        <f>Source_IS_YTD!S20-Source_IS_YTD!R20</f>
        <v>1.2999999999999998E-2</v>
      </c>
      <c r="T19" s="17">
        <f>Source_IS_YTD!T20-Source_IS_YTD!S20</f>
        <v>0.28700000000000003</v>
      </c>
      <c r="U19" s="17">
        <f>Source_IS_YTD!U20-Source_IS_YTD!T20</f>
        <v>0.13</v>
      </c>
      <c r="V19" s="17">
        <f>Source_IS_YTD!V20</f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workbookViewId="0"/>
  </sheetViews>
  <sheetFormatPr defaultRowHeight="13.8"/>
  <cols>
    <col min="1" max="1" width="42.09765625" customWidth="1"/>
    <col min="2" max="2" width="9.8984375" customWidth="1"/>
    <col min="3" max="7" width="11.19921875" customWidth="1"/>
    <col min="8" max="8" width="12.3984375" customWidth="1"/>
    <col min="9" max="14" width="11.19921875" customWidth="1"/>
    <col min="15" max="16" width="12.3984375" customWidth="1"/>
    <col min="17" max="22" width="11.19921875" customWidth="1"/>
  </cols>
  <sheetData>
    <row r="1" spans="1:22">
      <c r="A1" s="16" t="s">
        <v>40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 spans="1:22">
      <c r="A2" t="s">
        <v>41</v>
      </c>
      <c r="B2" s="1">
        <v>580716667</v>
      </c>
      <c r="C2" s="1">
        <v>680979431</v>
      </c>
      <c r="D2" s="1">
        <v>742771604</v>
      </c>
      <c r="E2" s="1">
        <v>730770964</v>
      </c>
      <c r="F2" s="1">
        <v>709089656</v>
      </c>
      <c r="G2" s="1">
        <v>686911526</v>
      </c>
      <c r="H2" s="1">
        <v>702438044</v>
      </c>
      <c r="I2" s="1">
        <v>693270370</v>
      </c>
      <c r="J2" s="1">
        <v>672151438</v>
      </c>
      <c r="K2" s="1">
        <v>749876972</v>
      </c>
      <c r="L2" s="1">
        <v>725908951</v>
      </c>
      <c r="M2" s="1">
        <v>776875848</v>
      </c>
      <c r="N2" s="1">
        <v>777075980</v>
      </c>
      <c r="O2" s="1">
        <v>795926750</v>
      </c>
      <c r="P2" s="1">
        <v>785832180</v>
      </c>
      <c r="Q2" s="1">
        <v>811770762</v>
      </c>
      <c r="R2" s="1">
        <v>949274112</v>
      </c>
      <c r="S2" s="1">
        <v>922412917</v>
      </c>
      <c r="T2" s="1">
        <v>968233533</v>
      </c>
      <c r="U2" s="1">
        <v>989890873</v>
      </c>
      <c r="V2" s="1">
        <v>775409439</v>
      </c>
    </row>
    <row r="3" spans="1:22">
      <c r="A3" t="s">
        <v>42</v>
      </c>
      <c r="B3" s="1">
        <v>194092151</v>
      </c>
      <c r="C3" s="1">
        <v>109649645</v>
      </c>
      <c r="D3" s="1">
        <v>28446645</v>
      </c>
      <c r="E3" s="1">
        <v>2487907</v>
      </c>
      <c r="F3" s="1">
        <v>56001562</v>
      </c>
      <c r="G3" s="1">
        <v>61003069</v>
      </c>
      <c r="H3" s="1">
        <v>51373180</v>
      </c>
      <c r="I3" s="1">
        <v>102537315</v>
      </c>
      <c r="J3" s="1">
        <v>128895956</v>
      </c>
      <c r="K3" s="1">
        <v>88123214</v>
      </c>
      <c r="L3" s="1">
        <v>100624381</v>
      </c>
      <c r="M3" s="1">
        <v>38909533</v>
      </c>
      <c r="N3" s="1">
        <v>72462022</v>
      </c>
      <c r="O3" s="1">
        <v>175730482</v>
      </c>
      <c r="P3" s="1">
        <v>205091605</v>
      </c>
      <c r="Q3" s="1">
        <v>197596471</v>
      </c>
      <c r="R3" s="1">
        <v>159402306</v>
      </c>
      <c r="S3" s="1">
        <v>173152041</v>
      </c>
      <c r="T3" s="1">
        <v>122350826</v>
      </c>
      <c r="U3" s="1">
        <v>89102731</v>
      </c>
      <c r="V3" s="1">
        <v>90000322</v>
      </c>
    </row>
    <row r="4" spans="1:22">
      <c r="A4" t="s">
        <v>43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3365395</v>
      </c>
      <c r="N4" s="1">
        <v>3365395</v>
      </c>
      <c r="O4" s="1">
        <v>3365395</v>
      </c>
      <c r="P4" s="1">
        <v>3365395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</row>
    <row r="5" spans="1:22">
      <c r="A5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72502733</v>
      </c>
    </row>
    <row r="6" spans="1:22">
      <c r="A6" t="s">
        <v>45</v>
      </c>
      <c r="B6" s="1">
        <v>0</v>
      </c>
      <c r="C6" s="1">
        <v>0</v>
      </c>
      <c r="D6" s="1">
        <v>4629853</v>
      </c>
      <c r="E6" s="1">
        <v>54629853</v>
      </c>
      <c r="F6" s="1">
        <v>4629853</v>
      </c>
      <c r="G6" s="1">
        <v>4629853</v>
      </c>
      <c r="H6" s="1">
        <v>-753811224</v>
      </c>
      <c r="I6" s="1">
        <v>4018553</v>
      </c>
      <c r="J6" s="1">
        <v>104018553</v>
      </c>
      <c r="K6" s="1">
        <v>4155415</v>
      </c>
      <c r="L6" s="1">
        <v>4155415</v>
      </c>
      <c r="M6" s="1">
        <v>0</v>
      </c>
      <c r="N6" s="1">
        <v>0</v>
      </c>
      <c r="O6" s="1">
        <v>-974999020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</row>
    <row r="7" spans="1:22">
      <c r="A7" t="s">
        <v>46</v>
      </c>
      <c r="B7" s="1">
        <v>357787229</v>
      </c>
      <c r="C7" s="1">
        <v>439773442</v>
      </c>
      <c r="D7" s="1">
        <v>494319945</v>
      </c>
      <c r="E7" s="1">
        <v>14255299</v>
      </c>
      <c r="F7" s="1">
        <v>15842107</v>
      </c>
      <c r="G7" s="1">
        <v>716197484</v>
      </c>
      <c r="H7" s="1">
        <v>0</v>
      </c>
      <c r="I7" s="1">
        <v>572087082</v>
      </c>
      <c r="J7" s="1">
        <v>755206928</v>
      </c>
      <c r="K7" s="1">
        <v>712189945</v>
      </c>
      <c r="L7" s="1">
        <v>687384207</v>
      </c>
      <c r="M7" s="1">
        <v>894981615</v>
      </c>
      <c r="N7" s="1">
        <v>1139385610</v>
      </c>
      <c r="O7" s="1">
        <v>4174473687</v>
      </c>
      <c r="P7" s="1">
        <v>1053367544</v>
      </c>
      <c r="Q7" s="1">
        <v>1233048891</v>
      </c>
      <c r="R7" s="1">
        <v>0</v>
      </c>
      <c r="S7" s="1">
        <v>1465216424</v>
      </c>
      <c r="T7" s="1">
        <v>1080034913</v>
      </c>
      <c r="U7" s="1">
        <v>1250611372</v>
      </c>
      <c r="V7" s="1">
        <v>1194680642</v>
      </c>
    </row>
    <row r="8" spans="1:22">
      <c r="A8" t="s">
        <v>47</v>
      </c>
      <c r="B8" s="1">
        <v>610803432</v>
      </c>
      <c r="C8" s="1">
        <v>576907582</v>
      </c>
      <c r="D8" s="1">
        <v>669512956</v>
      </c>
      <c r="E8" s="1">
        <v>637237807</v>
      </c>
      <c r="F8" s="1">
        <v>686879995</v>
      </c>
      <c r="G8" s="1">
        <v>779953345</v>
      </c>
      <c r="H8" s="1">
        <v>0</v>
      </c>
      <c r="I8" s="1">
        <v>591657820</v>
      </c>
      <c r="J8" s="1">
        <v>0</v>
      </c>
      <c r="K8" s="1">
        <v>847346753</v>
      </c>
      <c r="L8" s="1">
        <v>988549365</v>
      </c>
      <c r="M8" s="1">
        <v>938184238</v>
      </c>
      <c r="N8" s="1">
        <v>1224208460</v>
      </c>
      <c r="O8" s="1">
        <v>231628902</v>
      </c>
      <c r="P8" s="1">
        <v>0</v>
      </c>
      <c r="Q8" s="1">
        <v>1307396997</v>
      </c>
      <c r="R8" s="1">
        <v>1562872775</v>
      </c>
      <c r="S8" s="1">
        <v>1353994231</v>
      </c>
      <c r="T8" s="1">
        <v>1528959846</v>
      </c>
      <c r="U8" s="1">
        <v>1526519565</v>
      </c>
      <c r="V8" s="1">
        <v>1800636217</v>
      </c>
    </row>
    <row r="9" spans="1:22">
      <c r="A9" t="s">
        <v>48</v>
      </c>
      <c r="B9" s="1">
        <v>495455767</v>
      </c>
      <c r="C9" s="1">
        <v>505746612</v>
      </c>
      <c r="D9" s="1">
        <v>518535034</v>
      </c>
      <c r="E9" s="1">
        <v>957804744</v>
      </c>
      <c r="F9" s="1">
        <v>1005759600</v>
      </c>
      <c r="G9" s="1">
        <v>510256601</v>
      </c>
      <c r="H9" s="1">
        <v>-264146556</v>
      </c>
      <c r="I9" s="1">
        <v>695386168</v>
      </c>
      <c r="J9" s="1">
        <v>1609946301</v>
      </c>
      <c r="K9" s="1">
        <v>654150356</v>
      </c>
      <c r="L9" s="1">
        <v>443603657</v>
      </c>
      <c r="M9" s="1">
        <v>434976393</v>
      </c>
      <c r="N9" s="1">
        <v>879563603</v>
      </c>
      <c r="O9" s="1">
        <v>-1504177669</v>
      </c>
      <c r="P9" s="1">
        <v>1905769483</v>
      </c>
      <c r="Q9" s="1">
        <v>574627117</v>
      </c>
      <c r="R9" s="1">
        <v>2184098077</v>
      </c>
      <c r="S9" s="1">
        <v>456607125</v>
      </c>
      <c r="T9" s="1">
        <v>388344339</v>
      </c>
      <c r="U9" s="1">
        <v>450154473</v>
      </c>
      <c r="V9" s="1">
        <v>691837974</v>
      </c>
    </row>
    <row r="10" spans="1:22">
      <c r="A10" t="s">
        <v>49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</row>
    <row r="11" spans="1:22">
      <c r="A11" t="s">
        <v>50</v>
      </c>
      <c r="B11" s="1">
        <v>125038404</v>
      </c>
      <c r="C11" s="1">
        <v>128075432</v>
      </c>
      <c r="D11" s="1">
        <v>132770425</v>
      </c>
      <c r="E11" s="1">
        <v>163942106</v>
      </c>
      <c r="F11" s="1">
        <v>177666199</v>
      </c>
      <c r="G11" s="1">
        <v>205680242</v>
      </c>
      <c r="H11" s="1">
        <v>264146556</v>
      </c>
      <c r="I11" s="1">
        <v>440158488</v>
      </c>
      <c r="J11" s="1">
        <v>381407058</v>
      </c>
      <c r="K11" s="1">
        <v>219936811</v>
      </c>
      <c r="L11" s="1">
        <v>542098898</v>
      </c>
      <c r="M11" s="1">
        <v>522517539</v>
      </c>
      <c r="N11" s="1">
        <v>279255117</v>
      </c>
      <c r="O11" s="1">
        <v>474252647</v>
      </c>
      <c r="P11" s="1">
        <v>520423136</v>
      </c>
      <c r="Q11" s="1">
        <v>595006347</v>
      </c>
      <c r="R11" s="1">
        <v>521552628</v>
      </c>
      <c r="S11" s="1">
        <v>271483760</v>
      </c>
      <c r="T11" s="1">
        <v>174356463</v>
      </c>
      <c r="U11" s="1">
        <v>618922303</v>
      </c>
      <c r="V11" s="1">
        <v>319665548</v>
      </c>
    </row>
    <row r="12" spans="1:22">
      <c r="A12" t="s">
        <v>51</v>
      </c>
      <c r="B12" s="1">
        <v>56521739</v>
      </c>
      <c r="C12" s="1">
        <v>56521739</v>
      </c>
      <c r="D12" s="1">
        <v>56521739</v>
      </c>
      <c r="E12" s="1">
        <v>56521739</v>
      </c>
      <c r="F12" s="1">
        <v>56521739</v>
      </c>
      <c r="G12" s="1">
        <v>56521739</v>
      </c>
      <c r="H12" s="1">
        <v>56521739</v>
      </c>
      <c r="I12" s="1">
        <v>56521739</v>
      </c>
      <c r="J12" s="1">
        <v>56521739</v>
      </c>
      <c r="K12" s="1">
        <v>56521739</v>
      </c>
      <c r="L12" s="1">
        <v>56521739</v>
      </c>
      <c r="M12" s="1">
        <v>56521739</v>
      </c>
      <c r="N12" s="1">
        <v>56521739</v>
      </c>
      <c r="O12" s="1">
        <v>56521739</v>
      </c>
      <c r="P12" s="1">
        <v>56521739</v>
      </c>
      <c r="Q12" s="1">
        <v>56521739</v>
      </c>
      <c r="R12" s="1">
        <v>56521739</v>
      </c>
      <c r="S12" s="1">
        <v>56521739</v>
      </c>
      <c r="T12" s="1">
        <v>56521739</v>
      </c>
      <c r="U12" s="1">
        <v>56521739</v>
      </c>
      <c r="V12" s="1">
        <v>56521739</v>
      </c>
    </row>
    <row r="13" spans="1:22">
      <c r="A13" t="s">
        <v>52</v>
      </c>
      <c r="B13" s="1">
        <v>28260870</v>
      </c>
      <c r="C13" s="1">
        <v>28260870</v>
      </c>
      <c r="D13" s="1">
        <v>28260870</v>
      </c>
      <c r="E13" s="1">
        <v>28260870</v>
      </c>
      <c r="F13" s="1">
        <v>28260870</v>
      </c>
      <c r="G13" s="1">
        <v>28260870</v>
      </c>
      <c r="H13" s="1">
        <v>28260870</v>
      </c>
      <c r="I13" s="1">
        <v>28260870</v>
      </c>
      <c r="J13" s="1">
        <v>28260870</v>
      </c>
      <c r="K13" s="1">
        <v>28260870</v>
      </c>
      <c r="L13" s="1">
        <v>28260870</v>
      </c>
      <c r="M13" s="1">
        <v>28260870</v>
      </c>
      <c r="N13" s="1">
        <v>28260870</v>
      </c>
      <c r="O13" s="1">
        <v>28260870</v>
      </c>
      <c r="P13" s="1">
        <v>28260870</v>
      </c>
      <c r="Q13" s="1">
        <v>28260870</v>
      </c>
      <c r="R13" s="1">
        <v>28260870</v>
      </c>
      <c r="S13" s="1">
        <v>28260870</v>
      </c>
      <c r="T13" s="1">
        <v>28260870</v>
      </c>
      <c r="U13" s="1">
        <v>28260870</v>
      </c>
      <c r="V13" s="1">
        <v>28260870</v>
      </c>
    </row>
    <row r="14" spans="1:22">
      <c r="A14" t="s">
        <v>53</v>
      </c>
      <c r="B14" s="1">
        <v>283422423</v>
      </c>
      <c r="C14" s="1">
        <v>283422423</v>
      </c>
      <c r="D14" s="1">
        <v>283422423</v>
      </c>
      <c r="E14" s="1">
        <v>283422423</v>
      </c>
      <c r="F14" s="1">
        <v>283422423</v>
      </c>
      <c r="G14" s="1">
        <v>283422423</v>
      </c>
      <c r="H14" s="1">
        <v>283422423</v>
      </c>
      <c r="I14" s="1">
        <v>283422423</v>
      </c>
      <c r="J14" s="1">
        <v>283422423</v>
      </c>
      <c r="K14" s="1">
        <v>283422423</v>
      </c>
      <c r="L14" s="1">
        <v>283422423</v>
      </c>
      <c r="M14" s="1">
        <v>283422423</v>
      </c>
      <c r="N14" s="1">
        <v>283422423</v>
      </c>
      <c r="O14" s="1">
        <v>283422423</v>
      </c>
      <c r="P14" s="1">
        <v>283422423</v>
      </c>
      <c r="Q14" s="1">
        <v>283422423</v>
      </c>
      <c r="R14" s="1">
        <v>283422423</v>
      </c>
      <c r="S14" s="1">
        <v>283422423</v>
      </c>
      <c r="T14" s="1">
        <v>283422423</v>
      </c>
      <c r="U14" s="1">
        <v>283422423</v>
      </c>
      <c r="V14" s="1">
        <v>283422423</v>
      </c>
    </row>
    <row r="15" spans="1:22">
      <c r="A15" t="s">
        <v>54</v>
      </c>
      <c r="B15" s="1">
        <v>170196</v>
      </c>
      <c r="C15" s="1">
        <v>170196</v>
      </c>
      <c r="D15" s="1">
        <v>170196</v>
      </c>
      <c r="E15" s="1">
        <v>170196</v>
      </c>
      <c r="F15" s="1">
        <v>170196</v>
      </c>
      <c r="G15" s="1">
        <v>170196</v>
      </c>
      <c r="H15" s="1">
        <v>170196</v>
      </c>
      <c r="I15" s="1">
        <v>170196</v>
      </c>
      <c r="J15" s="1">
        <v>170196</v>
      </c>
      <c r="K15" s="1">
        <v>170196</v>
      </c>
      <c r="L15" s="1">
        <v>170196</v>
      </c>
      <c r="M15" s="1">
        <v>170196</v>
      </c>
      <c r="N15" s="1">
        <v>170196</v>
      </c>
      <c r="O15" s="1">
        <v>170196</v>
      </c>
      <c r="P15" s="1">
        <v>170196</v>
      </c>
      <c r="Q15" s="1">
        <v>170196</v>
      </c>
      <c r="R15" s="1">
        <v>170196</v>
      </c>
      <c r="S15" s="1">
        <v>170196</v>
      </c>
      <c r="T15" s="1">
        <v>170196</v>
      </c>
      <c r="U15" s="1">
        <v>170196</v>
      </c>
      <c r="V15" s="1">
        <v>170196</v>
      </c>
    </row>
    <row r="16" spans="1:22">
      <c r="A16" t="s">
        <v>55</v>
      </c>
      <c r="B16" s="1">
        <v>437425924</v>
      </c>
      <c r="C16" s="1">
        <v>409775809</v>
      </c>
      <c r="D16" s="1">
        <v>460778079</v>
      </c>
      <c r="E16" s="1">
        <v>490330894</v>
      </c>
      <c r="F16" s="1">
        <v>540704520</v>
      </c>
      <c r="G16" s="1">
        <v>601432146</v>
      </c>
      <c r="H16" s="1">
        <v>-368353839</v>
      </c>
      <c r="I16" s="1">
        <v>756033059</v>
      </c>
      <c r="J16" s="1">
        <v>-92610540</v>
      </c>
      <c r="K16" s="1">
        <v>822314279</v>
      </c>
      <c r="L16" s="1">
        <v>902787741</v>
      </c>
      <c r="M16" s="1">
        <v>932671519</v>
      </c>
      <c r="N16" s="1">
        <v>1085974315</v>
      </c>
      <c r="O16" s="1">
        <v>-12170361</v>
      </c>
      <c r="P16" s="1">
        <v>-367655643</v>
      </c>
      <c r="Q16" s="1">
        <v>1247938694</v>
      </c>
      <c r="R16" s="1">
        <v>4258539604</v>
      </c>
      <c r="S16" s="1">
        <v>962733433</v>
      </c>
      <c r="T16" s="1">
        <v>1063541525</v>
      </c>
      <c r="U16" s="1">
        <v>1109326281</v>
      </c>
      <c r="V16" s="1">
        <v>1153512638</v>
      </c>
    </row>
    <row r="17" spans="1:22">
      <c r="A17" t="s">
        <v>56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8186</v>
      </c>
      <c r="R17" s="1">
        <v>0</v>
      </c>
      <c r="S17" s="1">
        <v>0</v>
      </c>
      <c r="T17" s="1">
        <v>0</v>
      </c>
      <c r="U17" s="1">
        <v>8202</v>
      </c>
      <c r="V17" s="1">
        <v>0</v>
      </c>
    </row>
    <row r="18" spans="1:22">
      <c r="A18" t="s">
        <v>57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</row>
    <row r="19" spans="1:22">
      <c r="A19" t="s">
        <v>58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</row>
    <row r="20" spans="1:22">
      <c r="A20" t="s">
        <v>59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</row>
    <row r="21" spans="1:22">
      <c r="A21" t="s">
        <v>60</v>
      </c>
      <c r="B21" s="1">
        <v>190532794</v>
      </c>
      <c r="C21" s="1">
        <v>201172347</v>
      </c>
      <c r="D21" s="1">
        <v>191323203</v>
      </c>
      <c r="E21" s="1">
        <v>179897567</v>
      </c>
      <c r="F21" s="1">
        <v>197456281</v>
      </c>
      <c r="G21" s="1">
        <v>183908773</v>
      </c>
      <c r="H21" s="1">
        <v>0</v>
      </c>
      <c r="I21" s="1">
        <v>197298878</v>
      </c>
      <c r="J21" s="1">
        <v>0</v>
      </c>
      <c r="K21" s="1">
        <v>219602956</v>
      </c>
      <c r="L21" s="1">
        <v>206204999</v>
      </c>
      <c r="M21" s="1">
        <v>172009384</v>
      </c>
      <c r="N21" s="1">
        <v>164331690</v>
      </c>
      <c r="O21" s="1">
        <v>0</v>
      </c>
      <c r="P21" s="1">
        <v>726905600</v>
      </c>
      <c r="Q21" s="1">
        <v>109599033</v>
      </c>
      <c r="R21" s="1">
        <v>81614839</v>
      </c>
      <c r="S21" s="1">
        <v>75871915</v>
      </c>
      <c r="T21" s="1">
        <v>70354918</v>
      </c>
      <c r="U21" s="1">
        <v>158545659</v>
      </c>
      <c r="V21" s="1">
        <v>159218525</v>
      </c>
    </row>
    <row r="22" spans="1:22">
      <c r="A22" t="s">
        <v>61</v>
      </c>
      <c r="B22" s="1">
        <v>893781783</v>
      </c>
      <c r="C22" s="1">
        <v>1079329424</v>
      </c>
      <c r="D22" s="1">
        <v>1143833077</v>
      </c>
      <c r="E22" s="1">
        <v>1009448556</v>
      </c>
      <c r="F22" s="1">
        <v>1018839703</v>
      </c>
      <c r="G22" s="1">
        <v>1263765727</v>
      </c>
      <c r="H22" s="1">
        <v>1269605117</v>
      </c>
      <c r="I22" s="1">
        <v>1247679118</v>
      </c>
      <c r="J22" s="1">
        <v>0</v>
      </c>
      <c r="K22" s="1">
        <v>0</v>
      </c>
      <c r="L22" s="1">
        <v>1306364225</v>
      </c>
      <c r="M22" s="1">
        <v>1363122686</v>
      </c>
      <c r="N22" s="1">
        <v>1890644554</v>
      </c>
      <c r="O22" s="1">
        <v>0</v>
      </c>
      <c r="P22" s="1">
        <v>4799281490</v>
      </c>
      <c r="Q22" s="1">
        <v>2067397001</v>
      </c>
      <c r="R22" s="1">
        <v>2593558834</v>
      </c>
      <c r="S22" s="1">
        <v>2421472118</v>
      </c>
      <c r="T22" s="1">
        <v>1725372216</v>
      </c>
      <c r="U22" s="1">
        <v>2311514563</v>
      </c>
      <c r="V22" s="1">
        <v>2121862769</v>
      </c>
    </row>
    <row r="23" spans="1:22">
      <c r="A23" t="s">
        <v>62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65183311</v>
      </c>
      <c r="N23" s="1">
        <v>73000051</v>
      </c>
      <c r="O23" s="1">
        <v>74254763</v>
      </c>
      <c r="P23" s="1">
        <v>73840651</v>
      </c>
      <c r="Q23" s="1">
        <v>72262122</v>
      </c>
      <c r="R23" s="1">
        <v>67809946</v>
      </c>
      <c r="S23" s="1">
        <v>60005084</v>
      </c>
      <c r="T23" s="1">
        <v>44203678</v>
      </c>
      <c r="U23" s="1">
        <v>30878285</v>
      </c>
      <c r="V23" s="1">
        <v>25295743</v>
      </c>
    </row>
    <row r="24" spans="1:22">
      <c r="A24" t="s">
        <v>63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</row>
    <row r="25" spans="1:22">
      <c r="A25" t="s">
        <v>64</v>
      </c>
      <c r="B25" s="1">
        <v>230707379</v>
      </c>
      <c r="C25" s="1">
        <v>251076605</v>
      </c>
      <c r="D25" s="1">
        <v>277948477</v>
      </c>
      <c r="E25" s="1">
        <v>362791272</v>
      </c>
      <c r="F25" s="1">
        <v>324673498</v>
      </c>
      <c r="G25" s="1">
        <v>333838339</v>
      </c>
      <c r="H25" s="1">
        <v>312942677</v>
      </c>
      <c r="I25" s="1">
        <v>229886487</v>
      </c>
      <c r="J25" s="1">
        <v>0</v>
      </c>
      <c r="K25" s="1">
        <v>198087758</v>
      </c>
      <c r="L25" s="1">
        <v>264086358</v>
      </c>
      <c r="M25" s="1">
        <v>293868195</v>
      </c>
      <c r="N25" s="1">
        <v>274067562</v>
      </c>
      <c r="O25" s="1">
        <v>362697</v>
      </c>
      <c r="P25" s="1">
        <v>512746098</v>
      </c>
      <c r="Q25" s="1">
        <v>425306897</v>
      </c>
      <c r="R25" s="1">
        <v>552498533</v>
      </c>
      <c r="S25" s="1">
        <v>478932180</v>
      </c>
      <c r="T25" s="1">
        <v>691263775</v>
      </c>
      <c r="U25" s="1">
        <v>625755179</v>
      </c>
      <c r="V25" s="1">
        <v>711930677</v>
      </c>
    </row>
    <row r="26" spans="1:22">
      <c r="A26" t="s">
        <v>65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>
      <c r="A27" t="s">
        <v>66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</row>
    <row r="28" spans="1:22">
      <c r="A28" t="s">
        <v>67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</row>
    <row r="29" spans="1:22">
      <c r="A29" t="s">
        <v>68</v>
      </c>
      <c r="B29" s="1">
        <v>243070542</v>
      </c>
      <c r="C29" s="1">
        <v>-868597269</v>
      </c>
      <c r="D29" s="1">
        <v>148728398</v>
      </c>
      <c r="E29" s="1">
        <v>150285163</v>
      </c>
      <c r="F29" s="1">
        <v>205819742</v>
      </c>
      <c r="G29" s="1">
        <v>213311907</v>
      </c>
      <c r="H29" s="1">
        <v>-1582547794</v>
      </c>
      <c r="I29" s="1">
        <v>299843026</v>
      </c>
      <c r="J29" s="1">
        <v>0</v>
      </c>
      <c r="K29" s="1">
        <v>1667399245</v>
      </c>
      <c r="L29" s="1">
        <v>444506323</v>
      </c>
      <c r="M29" s="1">
        <v>414580238</v>
      </c>
      <c r="N29" s="1">
        <v>518322787</v>
      </c>
      <c r="O29" s="1">
        <v>770398907</v>
      </c>
      <c r="P29" s="1">
        <v>-4561640081</v>
      </c>
      <c r="Q29" s="1">
        <v>428559424</v>
      </c>
      <c r="R29" s="1">
        <v>454802914</v>
      </c>
      <c r="S29" s="1">
        <v>275476540</v>
      </c>
      <c r="T29" s="1">
        <v>299168580</v>
      </c>
      <c r="U29" s="1">
        <v>320797920</v>
      </c>
      <c r="V29" s="1">
        <v>404537295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workbookViewId="0"/>
  </sheetViews>
  <sheetFormatPr defaultRowHeight="13.8"/>
  <cols>
    <col min="1" max="1" width="30.69921875" customWidth="1"/>
    <col min="2" max="6" width="9.8984375" customWidth="1"/>
    <col min="7" max="11" width="11" customWidth="1"/>
    <col min="12" max="12" width="10" customWidth="1"/>
    <col min="13" max="14" width="11" customWidth="1"/>
    <col min="15" max="16" width="9.8984375" customWidth="1"/>
    <col min="17" max="17" width="11" customWidth="1"/>
    <col min="18" max="18" width="10" customWidth="1"/>
    <col min="19" max="22" width="11" customWidth="1"/>
  </cols>
  <sheetData>
    <row r="1" spans="1:2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 spans="1:22">
      <c r="A2" t="s">
        <v>69</v>
      </c>
      <c r="B2" s="1">
        <f>Source_CF_YTD!B3</f>
        <v>20580943</v>
      </c>
      <c r="C2" s="1">
        <f>Source_CF_YTD!C3-Source_CF_YTD!B3</f>
        <v>3037028</v>
      </c>
      <c r="D2" s="1">
        <f>Source_CF_YTD!D3-Source_CF_YTD!C3</f>
        <v>4694993</v>
      </c>
      <c r="E2" s="1">
        <f>Source_CF_YTD!E3-Source_CF_YTD!D3</f>
        <v>31171681</v>
      </c>
      <c r="F2" s="1">
        <f>Source_CF_YTD!F3</f>
        <v>1593999</v>
      </c>
      <c r="G2" s="1">
        <f>Source_CF_YTD!G3-Source_CF_YTD!F3</f>
        <v>-219712930</v>
      </c>
      <c r="H2" s="1">
        <f>Source_CF_YTD!H3-Source_CF_YTD!G3</f>
        <v>217910417</v>
      </c>
      <c r="I2" s="1">
        <f>Source_CF_YTD!I3-Source_CF_YTD!H3</f>
        <v>272760010</v>
      </c>
      <c r="J2" s="1">
        <f>Source_CF_YTD!J3</f>
        <v>-236840190</v>
      </c>
      <c r="K2" s="1">
        <f>Source_CF_YTD!K3-Source_CF_YTD!J3</f>
        <v>128361544</v>
      </c>
      <c r="L2" s="1">
        <f>Source_CF_YTD!L3-Source_CF_YTD!K3</f>
        <v>110867727</v>
      </c>
      <c r="M2" s="1">
        <f>Source_CF_YTD!M3-Source_CF_YTD!L3</f>
        <v>-2389081</v>
      </c>
      <c r="N2" s="1">
        <f>Source_CF_YTD!N3</f>
        <v>-243262422</v>
      </c>
      <c r="O2" s="1">
        <f>Source_CF_YTD!O3-Source_CF_YTD!N3</f>
        <v>194997530</v>
      </c>
      <c r="P2" s="1">
        <f>Source_CF_YTD!P3-Source_CF_YTD!O3</f>
        <v>46170489</v>
      </c>
      <c r="Q2" s="1">
        <f>Source_CF_YTD!Q3-Source_CF_YTD!P3</f>
        <v>-72696575</v>
      </c>
      <c r="R2" s="1">
        <f>Source_CF_YTD!R3</f>
        <v>-73453719</v>
      </c>
      <c r="S2" s="1">
        <f>Source_CF_YTD!S3-Source_CF_YTD!R3</f>
        <v>-494066868</v>
      </c>
      <c r="T2" s="1">
        <f>Source_CF_YTD!T3-Source_CF_YTD!S3</f>
        <v>969460543</v>
      </c>
      <c r="U2" s="1">
        <f>Source_CF_YTD!U3-Source_CF_YTD!T3</f>
        <v>-174993354</v>
      </c>
      <c r="V2" s="1">
        <f>Source_CF_YTD!V3</f>
        <v>-299256755</v>
      </c>
    </row>
    <row r="3" spans="1:22">
      <c r="A3" t="s">
        <v>70</v>
      </c>
      <c r="B3" s="1">
        <f>Source_CF_YTD!B4</f>
        <v>0</v>
      </c>
      <c r="C3" s="1">
        <f>Source_CF_YTD!C4-Source_CF_YTD!B4</f>
        <v>0</v>
      </c>
      <c r="D3" s="1">
        <f>Source_CF_YTD!D4-Source_CF_YTD!C4</f>
        <v>0</v>
      </c>
      <c r="E3" s="1">
        <f>Source_CF_YTD!E4-Source_CF_YTD!D4</f>
        <v>0</v>
      </c>
      <c r="F3" s="1">
        <f>Source_CF_YTD!F4</f>
        <v>-4731973</v>
      </c>
      <c r="G3" s="1">
        <f>Source_CF_YTD!G4-Source_CF_YTD!F4</f>
        <v>5702332</v>
      </c>
      <c r="H3" s="1">
        <f>Source_CF_YTD!H4-Source_CF_YTD!G4</f>
        <v>41475844</v>
      </c>
      <c r="I3" s="1">
        <f>Source_CF_YTD!I4-Source_CF_YTD!H4</f>
        <v>-291785165</v>
      </c>
      <c r="J3" s="1">
        <f>Source_CF_YTD!J4</f>
        <v>0</v>
      </c>
      <c r="K3" s="1">
        <f>Source_CF_YTD!K4-Source_CF_YTD!J4</f>
        <v>38193097</v>
      </c>
      <c r="L3" s="1">
        <f>Source_CF_YTD!L4-Source_CF_YTD!K4</f>
        <v>247894184</v>
      </c>
      <c r="M3" s="1">
        <f>Source_CF_YTD!M4-Source_CF_YTD!L4</f>
        <v>-285466725</v>
      </c>
      <c r="N3" s="1">
        <f>Source_CF_YTD!N4</f>
        <v>0</v>
      </c>
      <c r="O3" s="1">
        <f>Source_CF_YTD!O4-Source_CF_YTD!N4</f>
        <v>0</v>
      </c>
      <c r="P3" s="1">
        <f>Source_CF_YTD!P4-Source_CF_YTD!O4</f>
        <v>0</v>
      </c>
      <c r="Q3" s="1">
        <f>Source_CF_YTD!Q4-Source_CF_YTD!P4</f>
        <v>-403186273</v>
      </c>
      <c r="R3" s="1">
        <f>Source_CF_YTD!R4</f>
        <v>0</v>
      </c>
      <c r="S3" s="1">
        <f>Source_CF_YTD!S4-Source_CF_YTD!R4</f>
        <v>0</v>
      </c>
      <c r="T3" s="1">
        <f>Source_CF_YTD!T4-Source_CF_YTD!S4</f>
        <v>51457743</v>
      </c>
      <c r="U3" s="1">
        <f>Source_CF_YTD!U4-Source_CF_YTD!T4</f>
        <v>-11965437</v>
      </c>
      <c r="V3" s="1">
        <f>Source_CF_YTD!V4</f>
        <v>0</v>
      </c>
    </row>
    <row r="4" spans="1:22">
      <c r="A4" t="s">
        <v>71</v>
      </c>
      <c r="B4" s="1">
        <f>Source_CF_YTD!B5</f>
        <v>0</v>
      </c>
      <c r="C4" s="1">
        <f>Source_CF_YTD!C5-Source_CF_YTD!B5</f>
        <v>0</v>
      </c>
      <c r="D4" s="1">
        <f>Source_CF_YTD!D5-Source_CF_YTD!C5</f>
        <v>0</v>
      </c>
      <c r="E4" s="1">
        <f>Source_CF_YTD!E5-Source_CF_YTD!D5</f>
        <v>0</v>
      </c>
      <c r="F4" s="1">
        <f>Source_CF_YTD!F5</f>
        <v>23914398</v>
      </c>
      <c r="G4" s="1">
        <f>Source_CF_YTD!G5-Source_CF_YTD!F5</f>
        <v>229972310</v>
      </c>
      <c r="H4" s="1">
        <f>Source_CF_YTD!H5-Source_CF_YTD!G5</f>
        <v>13086482</v>
      </c>
      <c r="I4" s="1">
        <f>Source_CF_YTD!I5-Source_CF_YTD!H5</f>
        <v>-13969342</v>
      </c>
      <c r="J4" s="1">
        <f>Source_CF_YTD!J5</f>
        <v>222300809</v>
      </c>
      <c r="K4" s="1">
        <f>Source_CF_YTD!K5-Source_CF_YTD!J5</f>
        <v>-303729063</v>
      </c>
      <c r="L4" s="1">
        <f>Source_CF_YTD!L5-Source_CF_YTD!K5</f>
        <v>-20725804</v>
      </c>
      <c r="M4" s="1">
        <f>Source_CF_YTD!M5-Source_CF_YTD!L5</f>
        <v>102154058</v>
      </c>
      <c r="N4" s="1">
        <f>Source_CF_YTD!N5</f>
        <v>0</v>
      </c>
      <c r="O4" s="1">
        <f>Source_CF_YTD!O5-Source_CF_YTD!N5</f>
        <v>0</v>
      </c>
      <c r="P4" s="1">
        <f>Source_CF_YTD!P5-Source_CF_YTD!O5</f>
        <v>0</v>
      </c>
      <c r="Q4" s="1">
        <f>Source_CF_YTD!Q5-Source_CF_YTD!P5</f>
        <v>432355005</v>
      </c>
      <c r="R4" s="1">
        <f>Source_CF_YTD!R5</f>
        <v>0</v>
      </c>
      <c r="S4" s="1">
        <f>Source_CF_YTD!S5-Source_CF_YTD!R5</f>
        <v>0</v>
      </c>
      <c r="T4" s="1">
        <f>Source_CF_YTD!T5-Source_CF_YTD!S5</f>
        <v>-718428728</v>
      </c>
      <c r="U4" s="1">
        <f>Source_CF_YTD!U5-Source_CF_YTD!T5</f>
        <v>648254366</v>
      </c>
      <c r="V4" s="1">
        <f>Source_CF_YTD!V5</f>
        <v>0</v>
      </c>
    </row>
    <row r="5" spans="1:22">
      <c r="A5" t="s">
        <v>72</v>
      </c>
      <c r="B5" s="1">
        <f>Source_CF_YTD!B6</f>
        <v>0</v>
      </c>
      <c r="C5" s="1">
        <f>Source_CF_YTD!C6-Source_CF_YTD!B6</f>
        <v>0</v>
      </c>
      <c r="D5" s="1">
        <f>Source_CF_YTD!D6-Source_CF_YTD!C6</f>
        <v>0</v>
      </c>
      <c r="E5" s="1">
        <f>Source_CF_YTD!E6-Source_CF_YTD!D6</f>
        <v>0</v>
      </c>
      <c r="F5" s="1">
        <f>Source_CF_YTD!F6</f>
        <v>-7052331</v>
      </c>
      <c r="G5" s="1">
        <f>Source_CF_YTD!G6-Source_CF_YTD!F6</f>
        <v>12052331</v>
      </c>
      <c r="H5" s="1">
        <f>Source_CF_YTD!H6-Source_CF_YTD!G6</f>
        <v>-214006429</v>
      </c>
      <c r="I5" s="1">
        <f>Source_CF_YTD!I6-Source_CF_YTD!H6</f>
        <v>209006429</v>
      </c>
      <c r="J5" s="1">
        <f>Source_CF_YTD!J6</f>
        <v>-44212049</v>
      </c>
      <c r="K5" s="1">
        <f>Source_CF_YTD!K6-Source_CF_YTD!J6</f>
        <v>-24295825</v>
      </c>
      <c r="L5" s="1">
        <f>Source_CF_YTD!L6-Source_CF_YTD!K6</f>
        <v>-14974020</v>
      </c>
      <c r="M5" s="1">
        <f>Source_CF_YTD!M6-Source_CF_YTD!L6</f>
        <v>165220389</v>
      </c>
      <c r="N5" s="1">
        <f>Source_CF_YTD!N6</f>
        <v>0</v>
      </c>
      <c r="O5" s="1">
        <f>Source_CF_YTD!O6-Source_CF_YTD!N6</f>
        <v>0</v>
      </c>
      <c r="P5" s="1">
        <f>Source_CF_YTD!P6-Source_CF_YTD!O6</f>
        <v>0</v>
      </c>
      <c r="Q5" s="1">
        <f>Source_CF_YTD!Q6-Source_CF_YTD!P6</f>
        <v>118111054</v>
      </c>
      <c r="R5" s="1">
        <f>Source_CF_YTD!R6</f>
        <v>0</v>
      </c>
      <c r="S5" s="1">
        <f>Source_CF_YTD!S6-Source_CF_YTD!R6</f>
        <v>0</v>
      </c>
      <c r="T5" s="1">
        <f>Source_CF_YTD!T6-Source_CF_YTD!S6</f>
        <v>-155618855</v>
      </c>
      <c r="U5" s="1">
        <f>Source_CF_YTD!U6-Source_CF_YTD!T6</f>
        <v>-16729645</v>
      </c>
      <c r="V5" s="1">
        <f>Source_CF_YTD!V6</f>
        <v>0</v>
      </c>
    </row>
    <row r="6" spans="1:22">
      <c r="A6" t="s">
        <v>73</v>
      </c>
      <c r="B6" s="1">
        <f>Source_CF_YTD!B7</f>
        <v>104457461</v>
      </c>
      <c r="C6" s="1">
        <f>Source_CF_YTD!B8</f>
        <v>125038404</v>
      </c>
      <c r="D6" s="1">
        <f>Source_CF_YTD!C8</f>
        <v>128075432</v>
      </c>
      <c r="E6" s="1">
        <f>Source_CF_YTD!D8</f>
        <v>132770425</v>
      </c>
      <c r="F6" s="1">
        <f>Source_CF_YTD!F7</f>
        <v>163942106</v>
      </c>
      <c r="G6" s="1">
        <f>Source_CF_YTD!F8</f>
        <v>177666199</v>
      </c>
      <c r="H6" s="1">
        <f>Source_CF_YTD!G8</f>
        <v>205680242</v>
      </c>
      <c r="I6" s="1">
        <f>Source_CF_YTD!H8</f>
        <v>264146556</v>
      </c>
      <c r="J6" s="1">
        <f>Source_CF_YTD!J7</f>
        <v>440158488</v>
      </c>
      <c r="K6" s="1">
        <f>Source_CF_YTD!J8</f>
        <v>381407058</v>
      </c>
      <c r="L6" s="1">
        <f>Source_CF_YTD!K8</f>
        <v>219936811</v>
      </c>
      <c r="M6" s="1">
        <f>Source_CF_YTD!L8</f>
        <v>542998898</v>
      </c>
      <c r="N6" s="1">
        <f>Source_CF_YTD!N7</f>
        <v>522517539</v>
      </c>
      <c r="O6" s="1">
        <f>Source_CF_YTD!N8</f>
        <v>279255117</v>
      </c>
      <c r="P6" s="1">
        <f>Source_CF_YTD!O8</f>
        <v>474252647</v>
      </c>
      <c r="Q6" s="1">
        <f>Source_CF_YTD!P8</f>
        <v>520423136</v>
      </c>
      <c r="R6" s="1">
        <f>Source_CF_YTD!R7</f>
        <v>595006347</v>
      </c>
      <c r="S6" s="1">
        <f>Source_CF_YTD!R8</f>
        <v>521552628</v>
      </c>
      <c r="T6" s="1">
        <f>Source_CF_YTD!S8</f>
        <v>27485760</v>
      </c>
      <c r="U6" s="1">
        <f>Source_CF_YTD!T8</f>
        <v>174356463</v>
      </c>
      <c r="V6" s="1">
        <f>Source_CF_YTD!V7</f>
        <v>618922303</v>
      </c>
    </row>
    <row r="7" spans="1:22">
      <c r="A7" t="s">
        <v>74</v>
      </c>
      <c r="B7" s="1">
        <f>Source_CF_YTD!B8</f>
        <v>125038404</v>
      </c>
      <c r="C7" s="1">
        <f>Source_CF_YTD!C8</f>
        <v>128075432</v>
      </c>
      <c r="D7" s="1">
        <f>Source_CF_YTD!D8</f>
        <v>132770425</v>
      </c>
      <c r="E7" s="1">
        <f>Source_CF_YTD!E8</f>
        <v>163942106</v>
      </c>
      <c r="F7" s="1">
        <f>Source_CF_YTD!F8</f>
        <v>177666199</v>
      </c>
      <c r="G7" s="1">
        <f>Source_CF_YTD!G8</f>
        <v>205680242</v>
      </c>
      <c r="H7" s="1">
        <f>Source_CF_YTD!H8</f>
        <v>264146556</v>
      </c>
      <c r="I7" s="1">
        <f>Source_CF_YTD!I8</f>
        <v>440158488</v>
      </c>
      <c r="J7" s="1">
        <f>Source_CF_YTD!J8</f>
        <v>381407058</v>
      </c>
      <c r="K7" s="1">
        <f>Source_CF_YTD!K8</f>
        <v>219936811</v>
      </c>
      <c r="L7" s="1">
        <f>Source_CF_YTD!L8</f>
        <v>542998898</v>
      </c>
      <c r="M7" s="1">
        <f>Source_CF_YTD!M8</f>
        <v>522517539</v>
      </c>
      <c r="N7" s="1">
        <f>Source_CF_YTD!N8</f>
        <v>279255117</v>
      </c>
      <c r="O7" s="1">
        <f>Source_CF_YTD!O8</f>
        <v>474252647</v>
      </c>
      <c r="P7" s="1">
        <f>Source_CF_YTD!P8</f>
        <v>520423136</v>
      </c>
      <c r="Q7" s="1">
        <f>Source_CF_YTD!Q8</f>
        <v>595006347</v>
      </c>
      <c r="R7" s="1">
        <f>Source_CF_YTD!R8</f>
        <v>521552628</v>
      </c>
      <c r="S7" s="1">
        <f>Source_CF_YTD!S8</f>
        <v>27485760</v>
      </c>
      <c r="T7" s="1">
        <f>Source_CF_YTD!T8</f>
        <v>174356463</v>
      </c>
      <c r="U7" s="1">
        <f>Source_CF_YTD!U8</f>
        <v>618922393</v>
      </c>
      <c r="V7" s="1">
        <f>Source_CF_YTD!V8</f>
        <v>319665548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8"/>
  <sheetViews>
    <sheetView workbookViewId="0">
      <pane xSplit="1" topLeftCell="E1" activePane="topRight" state="frozen"/>
      <selection pane="topRight" activeCell="Q19" sqref="Q19"/>
    </sheetView>
  </sheetViews>
  <sheetFormatPr defaultRowHeight="13.8"/>
  <cols>
    <col min="1" max="1" width="43.69921875" bestFit="1" customWidth="1"/>
    <col min="2" max="4" width="10.796875" hidden="1" customWidth="1"/>
    <col min="5" max="5" width="12.09765625" bestFit="1" customWidth="1"/>
    <col min="6" max="7" width="11.09765625" hidden="1" customWidth="1"/>
    <col min="8" max="8" width="12.09765625" hidden="1" customWidth="1"/>
    <col min="9" max="9" width="12.09765625" customWidth="1"/>
    <col min="10" max="10" width="13" hidden="1" customWidth="1"/>
    <col min="11" max="11" width="12.09765625" hidden="1" customWidth="1"/>
    <col min="12" max="12" width="13" hidden="1" customWidth="1"/>
    <col min="13" max="13" width="12.09765625" customWidth="1"/>
    <col min="14" max="16" width="12.09765625" hidden="1" customWidth="1"/>
    <col min="17" max="17" width="12.09765625" customWidth="1"/>
    <col min="18" max="20" width="12.09765625" hidden="1" customWidth="1"/>
    <col min="21" max="21" width="12.09765625" customWidth="1"/>
    <col min="22" max="22" width="12.09765625" bestFit="1" customWidth="1"/>
  </cols>
  <sheetData>
    <row r="1" spans="1:22" ht="15.6">
      <c r="A1" s="27" t="s">
        <v>75</v>
      </c>
      <c r="B1" s="20" t="s">
        <v>1</v>
      </c>
      <c r="C1" s="20" t="s">
        <v>2</v>
      </c>
      <c r="D1" s="20" t="s">
        <v>3</v>
      </c>
      <c r="E1" s="46" t="s">
        <v>232</v>
      </c>
      <c r="F1" s="20" t="s">
        <v>5</v>
      </c>
      <c r="G1" s="20" t="s">
        <v>6</v>
      </c>
      <c r="H1" s="20" t="s">
        <v>7</v>
      </c>
      <c r="I1" s="46" t="s">
        <v>233</v>
      </c>
      <c r="J1" s="20" t="s">
        <v>9</v>
      </c>
      <c r="K1" s="20" t="s">
        <v>10</v>
      </c>
      <c r="L1" s="20" t="s">
        <v>11</v>
      </c>
      <c r="M1" s="46" t="s">
        <v>234</v>
      </c>
      <c r="N1" s="20" t="s">
        <v>13</v>
      </c>
      <c r="O1" s="20" t="s">
        <v>14</v>
      </c>
      <c r="P1" s="20" t="s">
        <v>15</v>
      </c>
      <c r="Q1" s="46" t="s">
        <v>235</v>
      </c>
      <c r="R1" s="20" t="s">
        <v>17</v>
      </c>
      <c r="S1" s="20" t="s">
        <v>18</v>
      </c>
      <c r="T1" s="20" t="s">
        <v>19</v>
      </c>
      <c r="U1" s="46" t="s">
        <v>236</v>
      </c>
      <c r="V1" s="20" t="s">
        <v>21</v>
      </c>
    </row>
    <row r="2" spans="1:22">
      <c r="A2" s="28" t="s">
        <v>76</v>
      </c>
      <c r="B2" s="29">
        <f>Input_IS!B2</f>
        <v>647085002</v>
      </c>
      <c r="C2" s="29">
        <f>Input_IS!C2</f>
        <v>669915686</v>
      </c>
      <c r="D2" s="29">
        <f>Input_IS!D2</f>
        <v>956091138</v>
      </c>
      <c r="E2" s="29">
        <v>3360510105</v>
      </c>
      <c r="F2" s="29">
        <f>Input_IS!F2</f>
        <v>1121684905</v>
      </c>
      <c r="G2" s="29">
        <f>Input_IS!G2</f>
        <v>1151921937</v>
      </c>
      <c r="H2" s="29">
        <v>1318784913</v>
      </c>
      <c r="I2" s="29">
        <v>5217873446</v>
      </c>
      <c r="J2" s="29">
        <f>Input_IS!J2</f>
        <v>1747362702</v>
      </c>
      <c r="K2" s="29">
        <f>Input_IS!K2</f>
        <v>1573422003</v>
      </c>
      <c r="L2" s="29">
        <f>Input_IS!L2</f>
        <v>2001158654</v>
      </c>
      <c r="M2" s="29">
        <v>7504449870</v>
      </c>
      <c r="N2" s="29">
        <f>Input_IS!N2</f>
        <v>2282168947</v>
      </c>
      <c r="O2" s="29">
        <f>Input_IS!O2</f>
        <v>2064394735</v>
      </c>
      <c r="P2" s="29">
        <f>Input_IS!P2</f>
        <v>2543891873</v>
      </c>
      <c r="Q2" s="29">
        <v>9225973753</v>
      </c>
      <c r="R2" s="29">
        <f>Input_IS!R2</f>
        <v>2251517916</v>
      </c>
      <c r="S2" s="29">
        <f>Input_IS!S2</f>
        <v>2004005941</v>
      </c>
      <c r="T2" s="29">
        <f>Input_IS!T2</f>
        <v>2722870246</v>
      </c>
      <c r="U2" s="29">
        <v>9390408399</v>
      </c>
      <c r="V2" s="29">
        <f>Input_IS!V2</f>
        <v>2559035323</v>
      </c>
    </row>
    <row r="3" spans="1:22">
      <c r="A3" s="30" t="s">
        <v>23</v>
      </c>
      <c r="B3" s="31">
        <f>Input_IS!B3</f>
        <v>-514371833</v>
      </c>
      <c r="C3" s="31">
        <f>Input_IS!C3</f>
        <v>-529748694</v>
      </c>
      <c r="D3" s="31">
        <f>Input_IS!D3</f>
        <v>-733267728</v>
      </c>
      <c r="E3" s="31">
        <v>-2607430561</v>
      </c>
      <c r="F3" s="31">
        <f>Input_IS!F3</f>
        <v>-852271975</v>
      </c>
      <c r="G3" s="31">
        <f>Input_IS!G3</f>
        <v>-868134441</v>
      </c>
      <c r="H3" s="31">
        <f>Input_IS!H3</f>
        <v>-1017755998</v>
      </c>
      <c r="I3" s="31">
        <v>-3946629934</v>
      </c>
      <c r="J3" s="31">
        <v>-1292654264</v>
      </c>
      <c r="K3" s="31">
        <v>-1163317190</v>
      </c>
      <c r="L3" s="31">
        <v>-1566517610</v>
      </c>
      <c r="M3" s="31">
        <v>-5924735252</v>
      </c>
      <c r="N3" s="31">
        <f>Input_IS!N3</f>
        <v>-1788008019</v>
      </c>
      <c r="O3" s="31">
        <f>Input_IS!O3</f>
        <v>-1572324964</v>
      </c>
      <c r="P3" s="31">
        <f>Input_IS!P3</f>
        <v>-1931185725</v>
      </c>
      <c r="Q3" s="31">
        <v>-7088537043</v>
      </c>
      <c r="R3" s="31">
        <f>Input_IS!R3</f>
        <v>-1743543118</v>
      </c>
      <c r="S3" s="31">
        <f>Input_IS!S3</f>
        <v>-1536388550</v>
      </c>
      <c r="T3" s="31">
        <f>Input_IS!T3</f>
        <v>-2057323731</v>
      </c>
      <c r="U3" s="31">
        <v>-7117314586</v>
      </c>
      <c r="V3" s="31">
        <f>Input_IS!V3</f>
        <v>-1935278800</v>
      </c>
    </row>
    <row r="4" spans="1:22" ht="15" customHeight="1">
      <c r="A4" s="35" t="s">
        <v>77</v>
      </c>
      <c r="B4" s="41">
        <f t="shared" ref="B4:V4" si="0">B2+B3</f>
        <v>132713169</v>
      </c>
      <c r="C4" s="41">
        <f t="shared" si="0"/>
        <v>140166992</v>
      </c>
      <c r="D4" s="41">
        <f t="shared" si="0"/>
        <v>222823410</v>
      </c>
      <c r="E4" s="41">
        <v>753079544</v>
      </c>
      <c r="F4" s="41">
        <f t="shared" si="0"/>
        <v>269412930</v>
      </c>
      <c r="G4" s="41">
        <f t="shared" si="0"/>
        <v>283787496</v>
      </c>
      <c r="H4" s="41">
        <f t="shared" si="0"/>
        <v>301028915</v>
      </c>
      <c r="I4" s="41">
        <f>SUM(I2:I3)</f>
        <v>1271243512</v>
      </c>
      <c r="J4" s="41">
        <f t="shared" si="0"/>
        <v>454708438</v>
      </c>
      <c r="K4" s="41">
        <f t="shared" si="0"/>
        <v>410104813</v>
      </c>
      <c r="L4" s="41">
        <f t="shared" si="0"/>
        <v>434641044</v>
      </c>
      <c r="M4" s="41">
        <f>SUM(M2:M3)</f>
        <v>1579714618</v>
      </c>
      <c r="N4" s="41">
        <f t="shared" si="0"/>
        <v>494160928</v>
      </c>
      <c r="O4" s="41">
        <f t="shared" si="0"/>
        <v>492069771</v>
      </c>
      <c r="P4" s="41">
        <f t="shared" si="0"/>
        <v>612706148</v>
      </c>
      <c r="Q4" s="41">
        <f>SUM(Q2:Q3)</f>
        <v>2137436710</v>
      </c>
      <c r="R4" s="41">
        <f t="shared" si="0"/>
        <v>507974798</v>
      </c>
      <c r="S4" s="41">
        <f t="shared" si="0"/>
        <v>467617391</v>
      </c>
      <c r="T4" s="41">
        <f t="shared" si="0"/>
        <v>665546515</v>
      </c>
      <c r="U4" s="41">
        <f>SUM(U2:U3)</f>
        <v>2273093813</v>
      </c>
      <c r="V4" s="41">
        <f t="shared" si="0"/>
        <v>623756523</v>
      </c>
    </row>
    <row r="5" spans="1:22" s="42" customFormat="1">
      <c r="A5" s="44" t="s">
        <v>78</v>
      </c>
      <c r="B5" s="43">
        <f>IFERROR(B4/B2,0)</f>
        <v>0.20509387265940682</v>
      </c>
      <c r="C5" s="43">
        <f t="shared" ref="C5:V5" si="1">IFERROR(C4/C2,0)</f>
        <v>0.20923079564970806</v>
      </c>
      <c r="D5" s="43">
        <f t="shared" si="1"/>
        <v>0.23305666284713539</v>
      </c>
      <c r="E5" s="47">
        <f>E4/E2</f>
        <v>0.22409679497154794</v>
      </c>
      <c r="F5" s="43">
        <f t="shared" si="1"/>
        <v>0.24018592815065118</v>
      </c>
      <c r="G5" s="43">
        <f t="shared" si="1"/>
        <v>0.24636000659825963</v>
      </c>
      <c r="H5" s="43">
        <f t="shared" si="1"/>
        <v>0.22826232847569738</v>
      </c>
      <c r="I5" s="47">
        <v>0.19749257939729423</v>
      </c>
      <c r="J5" s="43">
        <f t="shared" si="1"/>
        <v>0.26022556019969345</v>
      </c>
      <c r="K5" s="43">
        <f t="shared" si="1"/>
        <v>0.26064514937382632</v>
      </c>
      <c r="L5" s="43">
        <f>IFERROR(L4/L2,0)</f>
        <v>0.2171946952487856</v>
      </c>
      <c r="M5" s="47">
        <f>IFERROR(M4/M2,0)</f>
        <v>0.21050372050789648</v>
      </c>
      <c r="N5" s="43">
        <f t="shared" si="1"/>
        <v>0.21653126454533253</v>
      </c>
      <c r="O5" s="43">
        <f t="shared" si="1"/>
        <v>0.23836031097027574</v>
      </c>
      <c r="P5" s="43">
        <f t="shared" si="1"/>
        <v>0.24085384858651185</v>
      </c>
      <c r="Q5" s="47">
        <f>IFERROR(Q4/Q2,0)</f>
        <v>0.23167600160416368</v>
      </c>
      <c r="R5" s="43">
        <f t="shared" si="1"/>
        <v>0.22561437081631466</v>
      </c>
      <c r="S5" s="43">
        <f t="shared" si="1"/>
        <v>0.23334131972016944</v>
      </c>
      <c r="T5" s="43">
        <f t="shared" si="1"/>
        <v>0.2444282888535409</v>
      </c>
      <c r="U5" s="47">
        <f>IFERROR(U4/U2,0)</f>
        <v>0.24206549027644692</v>
      </c>
      <c r="V5" s="43">
        <f t="shared" si="1"/>
        <v>0.2437467421390494</v>
      </c>
    </row>
    <row r="6" spans="1:22">
      <c r="A6" s="30" t="s">
        <v>79</v>
      </c>
      <c r="B6" s="31"/>
      <c r="C6" s="31"/>
      <c r="D6" s="31"/>
      <c r="E6" s="31">
        <v>0</v>
      </c>
      <c r="F6" s="31"/>
      <c r="G6" s="31"/>
      <c r="H6" s="31"/>
      <c r="I6" s="31">
        <v>0</v>
      </c>
      <c r="J6" s="31"/>
      <c r="K6" s="31"/>
      <c r="L6" s="31"/>
      <c r="M6" s="31">
        <v>-735282187</v>
      </c>
      <c r="N6" s="31"/>
      <c r="O6" s="31"/>
      <c r="P6" s="31"/>
      <c r="Q6" s="31"/>
      <c r="R6" s="31"/>
      <c r="S6" s="31"/>
      <c r="T6" s="31"/>
      <c r="U6" s="31"/>
      <c r="V6" s="31"/>
    </row>
    <row r="7" spans="1:22">
      <c r="A7" s="28" t="s">
        <v>24</v>
      </c>
      <c r="B7" s="29">
        <f>Input_IS!B4</f>
        <v>-120289255</v>
      </c>
      <c r="C7" s="29">
        <f>Input_IS!C4</f>
        <v>-135634503</v>
      </c>
      <c r="D7" s="29">
        <f>Input_IS!D4</f>
        <v>-145035872</v>
      </c>
      <c r="E7" s="29">
        <v>-567724875</v>
      </c>
      <c r="F7" s="29">
        <f>Input_IS!F4</f>
        <v>-162744974</v>
      </c>
      <c r="G7" s="29">
        <f>Input_IS!G4</f>
        <v>-179968793</v>
      </c>
      <c r="H7" s="29">
        <v>-188616472</v>
      </c>
      <c r="I7" s="29">
        <v>-757285465</v>
      </c>
      <c r="J7" s="29">
        <f>Input_IS!J4</f>
        <v>-209420407</v>
      </c>
      <c r="K7" s="29">
        <f>Input_IS!K4</f>
        <v>-230482112</v>
      </c>
      <c r="L7" s="29">
        <f>Input_IS!L4</f>
        <v>-232013315</v>
      </c>
      <c r="M7" s="29">
        <v>-78055261</v>
      </c>
      <c r="N7" s="29">
        <f>Input_IS!N4</f>
        <v>-242606070</v>
      </c>
      <c r="O7" s="29">
        <f>Input_IS!O4</f>
        <v>-232067973</v>
      </c>
      <c r="P7" s="29">
        <f>Input_IS!P4</f>
        <v>-268568000</v>
      </c>
      <c r="Q7" s="29">
        <v>-1041676607</v>
      </c>
      <c r="R7" s="29">
        <v>-347909441</v>
      </c>
      <c r="S7" s="29">
        <v>-301348882</v>
      </c>
      <c r="T7" s="29">
        <f>Input_IS!T4</f>
        <v>-414626235</v>
      </c>
      <c r="U7" s="29">
        <v>-1519808697</v>
      </c>
      <c r="V7" s="29">
        <f>Input_IS!V4</f>
        <v>-405466627</v>
      </c>
    </row>
    <row r="8" spans="1:22">
      <c r="A8" s="30" t="s">
        <v>25</v>
      </c>
      <c r="B8" s="31">
        <f>Input_IS!B5</f>
        <v>-12881777</v>
      </c>
      <c r="C8" s="31">
        <f>Input_IS!C5</f>
        <v>-13497687</v>
      </c>
      <c r="D8" s="31">
        <f>Input_IS!D5</f>
        <v>-13479490</v>
      </c>
      <c r="E8" s="31">
        <v>-58663628</v>
      </c>
      <c r="F8" s="31">
        <f>Input_IS!F5</f>
        <v>-18098216</v>
      </c>
      <c r="G8" s="31">
        <f>Input_IS!G5</f>
        <v>13199815</v>
      </c>
      <c r="H8" s="31">
        <v>-31857534</v>
      </c>
      <c r="I8" s="31">
        <v>-84828829</v>
      </c>
      <c r="J8" s="31">
        <f>Input_IS!J5</f>
        <v>-18097113</v>
      </c>
      <c r="K8" s="31">
        <f>Input_IS!K5</f>
        <v>-18609647</v>
      </c>
      <c r="L8" s="31">
        <f>Input_IS!L5</f>
        <v>-19045300</v>
      </c>
      <c r="M8" s="31">
        <v>111806371</v>
      </c>
      <c r="N8" s="31">
        <f>Input_IS!N5</f>
        <v>-21322676</v>
      </c>
      <c r="O8" s="31">
        <f>-23091039</f>
        <v>-23091039</v>
      </c>
      <c r="P8" s="31">
        <f>Input_IS!P5</f>
        <v>-22549558</v>
      </c>
      <c r="Q8" s="31">
        <v>-94821984</v>
      </c>
      <c r="R8" s="31">
        <v>-31325988</v>
      </c>
      <c r="S8" s="31">
        <v>-33945000</v>
      </c>
      <c r="T8" s="31">
        <f>Input_IS!T5</f>
        <v>-34414752</v>
      </c>
      <c r="U8" s="31">
        <v>-138653485</v>
      </c>
      <c r="V8" s="31">
        <f>Input_IS!V5</f>
        <v>-27901748</v>
      </c>
    </row>
    <row r="9" spans="1:22">
      <c r="A9" s="28" t="s">
        <v>26</v>
      </c>
      <c r="B9" s="29">
        <f>Input_IS!B6</f>
        <v>10286699</v>
      </c>
      <c r="C9" s="29">
        <f>Input_IS!C6</f>
        <v>2696781</v>
      </c>
      <c r="D9" s="29">
        <f>Input_IS!D6</f>
        <v>10382872</v>
      </c>
      <c r="E9" s="29">
        <v>36381144</v>
      </c>
      <c r="F9" s="29">
        <f>Input_IS!F6</f>
        <v>10496024</v>
      </c>
      <c r="G9" s="29">
        <f>Input_IS!G6</f>
        <v>15790822</v>
      </c>
      <c r="H9" s="29">
        <f>Input_IS!H6</f>
        <v>17912900</v>
      </c>
      <c r="I9" s="29">
        <v>53291312</v>
      </c>
      <c r="J9" s="29">
        <v>13577478</v>
      </c>
      <c r="K9" s="29">
        <v>34379469</v>
      </c>
      <c r="L9" s="29">
        <v>32176669</v>
      </c>
      <c r="M9" s="29">
        <v>5969392</v>
      </c>
      <c r="N9" s="29">
        <f>Input_IS!N6</f>
        <v>17126026</v>
      </c>
      <c r="O9" s="29">
        <f>Input_IS!O6</f>
        <v>22531707</v>
      </c>
      <c r="P9" s="29">
        <f>Input_IS!P6</f>
        <v>30677641</v>
      </c>
      <c r="Q9" s="29">
        <v>87478389</v>
      </c>
      <c r="R9" s="29">
        <v>32038833</v>
      </c>
      <c r="S9" s="29">
        <v>28296541</v>
      </c>
      <c r="T9" s="29">
        <f>Input_IS!T6</f>
        <v>33100904</v>
      </c>
      <c r="U9" s="29">
        <v>123022906</v>
      </c>
      <c r="V9" s="29">
        <f>Input_IS!V6</f>
        <v>49369500</v>
      </c>
    </row>
    <row r="10" spans="1:22">
      <c r="A10" s="30" t="s">
        <v>27</v>
      </c>
      <c r="B10" s="31">
        <f>Input_IS!B7</f>
        <v>0</v>
      </c>
      <c r="C10" s="31">
        <f>Input_IS!C7</f>
        <v>0</v>
      </c>
      <c r="D10" s="31">
        <f>Input_IS!D7</f>
        <v>0</v>
      </c>
      <c r="E10" s="31">
        <v>0</v>
      </c>
      <c r="F10" s="31">
        <f>Input_IS!F7</f>
        <v>0</v>
      </c>
      <c r="G10" s="31">
        <f>Input_IS!G7</f>
        <v>0</v>
      </c>
      <c r="H10" s="31">
        <f>Input_IS!H7</f>
        <v>0</v>
      </c>
      <c r="I10" s="31">
        <v>0</v>
      </c>
      <c r="J10" s="31">
        <v>561268</v>
      </c>
      <c r="K10" s="31">
        <v>136862</v>
      </c>
      <c r="L10" s="31">
        <f>Input_IS!L7</f>
        <v>0</v>
      </c>
      <c r="M10" s="31">
        <v>-653158</v>
      </c>
      <c r="N10" s="31">
        <f>Input_IS!N7</f>
        <v>0</v>
      </c>
      <c r="O10" s="31">
        <f>Input_IS!O7</f>
        <v>0</v>
      </c>
      <c r="P10" s="31">
        <f>Input_IS!P7</f>
        <v>0</v>
      </c>
      <c r="Q10" s="31">
        <v>-32614</v>
      </c>
      <c r="R10" s="31">
        <f>Input_IS!R7</f>
        <v>0</v>
      </c>
      <c r="S10" s="31">
        <f>Input_IS!S7</f>
        <v>0</v>
      </c>
      <c r="T10" s="31">
        <v>21667172</v>
      </c>
      <c r="U10" s="31"/>
      <c r="V10" s="31">
        <f>Input_IS!V7</f>
        <v>0</v>
      </c>
    </row>
    <row r="11" spans="1:22">
      <c r="A11" s="28" t="s">
        <v>28</v>
      </c>
      <c r="B11" s="29">
        <f>Input_IS!B8</f>
        <v>0</v>
      </c>
      <c r="C11" s="29">
        <f>Input_IS!C8</f>
        <v>0</v>
      </c>
      <c r="D11" s="29">
        <f>Input_IS!D8</f>
        <v>0</v>
      </c>
      <c r="E11" s="29">
        <v>0</v>
      </c>
      <c r="F11" s="29">
        <f>Input_IS!F8</f>
        <v>0</v>
      </c>
      <c r="G11" s="29">
        <f>Input_IS!G8</f>
        <v>0</v>
      </c>
      <c r="H11" s="29">
        <v>-652700</v>
      </c>
      <c r="I11" s="29">
        <v>-611300</v>
      </c>
      <c r="J11" s="29">
        <v>-2572700</v>
      </c>
      <c r="K11" s="29">
        <v>725602</v>
      </c>
      <c r="L11" s="29">
        <v>4408862</v>
      </c>
      <c r="M11" s="29"/>
      <c r="N11" s="29">
        <f>Input_IS!N8</f>
        <v>0</v>
      </c>
      <c r="O11" s="29">
        <f>Input_IS!O8</f>
        <v>0</v>
      </c>
      <c r="P11" s="29">
        <f>Input_IS!P8</f>
        <v>0</v>
      </c>
      <c r="Q11" s="29"/>
      <c r="R11" s="29">
        <f>Input_IS!R8</f>
        <v>0</v>
      </c>
      <c r="S11" s="29">
        <f>Input_IS!S8</f>
        <v>0</v>
      </c>
      <c r="T11" s="29">
        <v>-958044</v>
      </c>
      <c r="U11" s="29">
        <v>22212609</v>
      </c>
      <c r="V11" s="29">
        <f>Input_IS!V8</f>
        <v>0</v>
      </c>
    </row>
    <row r="12" spans="1:22">
      <c r="A12" s="30" t="s">
        <v>29</v>
      </c>
      <c r="B12" s="31">
        <f>Input_IS!B9</f>
        <v>0</v>
      </c>
      <c r="C12" s="31">
        <f>Input_IS!C9</f>
        <v>0</v>
      </c>
      <c r="D12" s="31">
        <f>Input_IS!D9</f>
        <v>0</v>
      </c>
      <c r="E12" s="31">
        <v>0</v>
      </c>
      <c r="F12" s="31">
        <f>Input_IS!F9</f>
        <v>0</v>
      </c>
      <c r="G12" s="31">
        <f>Input_IS!G9</f>
        <v>0</v>
      </c>
      <c r="H12" s="31">
        <f>Input_IS!H9</f>
        <v>0</v>
      </c>
      <c r="I12" s="31">
        <v>-584502</v>
      </c>
      <c r="J12" s="31">
        <f>Input_IS!J9</f>
        <v>0</v>
      </c>
      <c r="K12" s="31">
        <f>Input_IS!K9</f>
        <v>0</v>
      </c>
      <c r="L12" s="31">
        <f>Input_IS!L9</f>
        <v>0</v>
      </c>
      <c r="M12" s="31"/>
      <c r="N12" s="31">
        <v>-181283</v>
      </c>
      <c r="O12" s="31">
        <v>-1357109</v>
      </c>
      <c r="P12" s="31">
        <f>Input_IS!P9</f>
        <v>0</v>
      </c>
      <c r="Q12" s="31"/>
      <c r="R12" s="31">
        <f>Input_IS!R9</f>
        <v>0</v>
      </c>
      <c r="S12" s="31">
        <f>Input_IS!S9</f>
        <v>0</v>
      </c>
      <c r="T12" s="31"/>
      <c r="U12" s="31">
        <v>-958044</v>
      </c>
      <c r="V12" s="31">
        <f>Input_IS!V9</f>
        <v>0</v>
      </c>
    </row>
    <row r="13" spans="1:22">
      <c r="A13" s="32" t="s">
        <v>30</v>
      </c>
      <c r="B13" s="33">
        <f>Input_IS!B10</f>
        <v>0</v>
      </c>
      <c r="C13" s="33">
        <f>Input_IS!C10</f>
        <v>0</v>
      </c>
      <c r="D13" s="33">
        <f>Input_IS!D10</f>
        <v>0</v>
      </c>
      <c r="E13" s="33">
        <v>0</v>
      </c>
      <c r="F13" s="33">
        <f>Input_IS!F10</f>
        <v>0</v>
      </c>
      <c r="G13" s="33">
        <f>Input_IS!G10</f>
        <v>0</v>
      </c>
      <c r="H13" s="33">
        <f>Input_IS!H10</f>
        <v>0</v>
      </c>
      <c r="I13" s="33">
        <v>-17360800</v>
      </c>
      <c r="J13" s="33">
        <f>Input_IS!J10</f>
        <v>0</v>
      </c>
      <c r="K13" s="33">
        <v>-9125763</v>
      </c>
      <c r="L13" s="33">
        <v>-13611304</v>
      </c>
      <c r="M13" s="33">
        <v>-42528993</v>
      </c>
      <c r="N13" s="33">
        <v>-10811579</v>
      </c>
      <c r="O13" s="33">
        <v>-6412087</v>
      </c>
      <c r="P13" s="33">
        <f>Input_IS!P10</f>
        <v>0</v>
      </c>
      <c r="Q13" s="33">
        <v>-36334577</v>
      </c>
      <c r="R13" s="33">
        <v>-1921799</v>
      </c>
      <c r="S13" s="33">
        <v>-1541812</v>
      </c>
      <c r="T13" s="33">
        <v>-6828995</v>
      </c>
      <c r="U13" s="33">
        <v>-14836690</v>
      </c>
      <c r="V13" s="33">
        <f>Input_IS!V10</f>
        <v>-5710130</v>
      </c>
    </row>
    <row r="14" spans="1:22">
      <c r="A14" s="28" t="s">
        <v>31</v>
      </c>
      <c r="B14" s="29">
        <f>Input_IS!B11</f>
        <v>-346949</v>
      </c>
      <c r="C14" s="29">
        <f>Input_IS!C11</f>
        <v>42170</v>
      </c>
      <c r="D14" s="29">
        <f>Input_IS!D11</f>
        <v>-153600</v>
      </c>
      <c r="E14" s="29">
        <v>-223856</v>
      </c>
      <c r="F14" s="29">
        <f>Input_IS!F11</f>
        <v>-552700</v>
      </c>
      <c r="G14" s="29">
        <f>Input_IS!G11</f>
        <v>-30512700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f>Input_IS!P11</f>
        <v>-10075081</v>
      </c>
      <c r="Q14" s="29">
        <v>0</v>
      </c>
      <c r="R14" s="29">
        <v>0</v>
      </c>
      <c r="S14" s="29"/>
      <c r="T14" s="29"/>
      <c r="U14" s="29"/>
      <c r="V14" s="29">
        <f>Input_IS!V11</f>
        <v>-8</v>
      </c>
    </row>
    <row r="15" spans="1:22" ht="15" customHeight="1">
      <c r="A15" s="35" t="s">
        <v>80</v>
      </c>
      <c r="B15" s="41">
        <f t="shared" ref="B15:V15" si="2">B4+SUM(B7:B14)</f>
        <v>9481887</v>
      </c>
      <c r="C15" s="41">
        <f t="shared" si="2"/>
        <v>-6226247</v>
      </c>
      <c r="D15" s="41">
        <f t="shared" si="2"/>
        <v>74537320</v>
      </c>
      <c r="E15" s="41">
        <v>162848329</v>
      </c>
      <c r="F15" s="41">
        <f t="shared" si="2"/>
        <v>98513064</v>
      </c>
      <c r="G15" s="41">
        <f t="shared" si="2"/>
        <v>102296640</v>
      </c>
      <c r="H15" s="41">
        <f t="shared" si="2"/>
        <v>97815109</v>
      </c>
      <c r="I15" s="41">
        <f t="shared" si="2"/>
        <v>463863928</v>
      </c>
      <c r="J15" s="41">
        <f t="shared" si="2"/>
        <v>238756964</v>
      </c>
      <c r="K15" s="41">
        <f t="shared" si="2"/>
        <v>187129224</v>
      </c>
      <c r="L15" s="41">
        <f t="shared" si="2"/>
        <v>206556656</v>
      </c>
      <c r="M15" s="41">
        <f>M4+SUM(M6:M14)</f>
        <v>840970782</v>
      </c>
      <c r="N15" s="41">
        <f t="shared" si="2"/>
        <v>236365346</v>
      </c>
      <c r="O15" s="41">
        <f t="shared" si="2"/>
        <v>251673270</v>
      </c>
      <c r="P15" s="41">
        <f t="shared" si="2"/>
        <v>342191150</v>
      </c>
      <c r="Q15" s="41">
        <f>Q4+SUM(Q7:Q14)</f>
        <v>1052049317</v>
      </c>
      <c r="R15" s="41">
        <f t="shared" si="2"/>
        <v>158856403</v>
      </c>
      <c r="S15" s="41">
        <f t="shared" si="2"/>
        <v>159078238</v>
      </c>
      <c r="T15" s="41">
        <f t="shared" si="2"/>
        <v>263486565</v>
      </c>
      <c r="U15" s="41">
        <f>U4+SUM(U7:U14)</f>
        <v>744072412</v>
      </c>
      <c r="V15" s="41">
        <f t="shared" si="2"/>
        <v>234047510</v>
      </c>
    </row>
    <row r="16" spans="1:22" s="42" customFormat="1">
      <c r="A16" s="44" t="s">
        <v>81</v>
      </c>
      <c r="B16" s="43">
        <f t="shared" ref="B16:V16" si="3">IFERROR(B15/B2,0)</f>
        <v>1.4653232528483174E-2</v>
      </c>
      <c r="C16" s="43">
        <f t="shared" si="3"/>
        <v>-9.2940755532629812E-3</v>
      </c>
      <c r="D16" s="43">
        <f t="shared" si="3"/>
        <v>7.7960475772132928E-2</v>
      </c>
      <c r="E16" s="47">
        <f>E15/E2</f>
        <v>4.8459407623176902E-2</v>
      </c>
      <c r="F16" s="43">
        <f t="shared" si="3"/>
        <v>8.782596927253826E-2</v>
      </c>
      <c r="G16" s="43">
        <f t="shared" si="3"/>
        <v>8.8805184374225521E-2</v>
      </c>
      <c r="H16" s="43">
        <f t="shared" si="3"/>
        <v>7.4170630885887309E-2</v>
      </c>
      <c r="I16" s="47">
        <f>I15/I2</f>
        <v>8.8899037663628305E-2</v>
      </c>
      <c r="J16" s="43">
        <f t="shared" si="3"/>
        <v>0.13663846877738839</v>
      </c>
      <c r="K16" s="43">
        <f t="shared" si="3"/>
        <v>0.11893136338706711</v>
      </c>
      <c r="L16" s="43">
        <f t="shared" si="3"/>
        <v>0.10321853071825458</v>
      </c>
      <c r="M16" s="47">
        <f t="shared" si="3"/>
        <v>0.11206294885943452</v>
      </c>
      <c r="N16" s="43">
        <f t="shared" si="3"/>
        <v>0.10357048557281942</v>
      </c>
      <c r="O16" s="43">
        <f t="shared" si="3"/>
        <v>0.12191140857564724</v>
      </c>
      <c r="P16" s="43">
        <f t="shared" si="3"/>
        <v>0.13451481709262098</v>
      </c>
      <c r="Q16" s="47">
        <f t="shared" si="3"/>
        <v>0.11403124972666503</v>
      </c>
      <c r="R16" s="43">
        <f t="shared" si="3"/>
        <v>7.055524713843761E-2</v>
      </c>
      <c r="S16" s="43">
        <f t="shared" si="3"/>
        <v>7.9380122955433896E-2</v>
      </c>
      <c r="T16" s="43">
        <f t="shared" si="3"/>
        <v>9.676794749477019E-2</v>
      </c>
      <c r="U16" s="47">
        <f t="shared" si="3"/>
        <v>7.9237492171185808E-2</v>
      </c>
      <c r="V16" s="43">
        <f t="shared" si="3"/>
        <v>9.1459272912896794E-2</v>
      </c>
    </row>
    <row r="17" spans="1:22">
      <c r="A17" s="34" t="s">
        <v>82</v>
      </c>
      <c r="B17" s="29">
        <f>Input_IS!B9</f>
        <v>0</v>
      </c>
      <c r="C17" s="29">
        <f>Input_IS!C9</f>
        <v>0</v>
      </c>
      <c r="D17" s="29">
        <f>Input_IS!D9</f>
        <v>0</v>
      </c>
      <c r="E17" s="29">
        <v>0</v>
      </c>
      <c r="F17" s="29">
        <f>Input_IS!F9</f>
        <v>0</v>
      </c>
      <c r="G17" s="29">
        <f>Input_IS!G9</f>
        <v>0</v>
      </c>
      <c r="H17" s="29">
        <f>Input_IS!H9</f>
        <v>0</v>
      </c>
      <c r="I17" s="29">
        <v>0</v>
      </c>
      <c r="J17" s="29">
        <f>Input_IS!J9</f>
        <v>0</v>
      </c>
      <c r="K17" s="29">
        <f>Input_IS!K9</f>
        <v>0</v>
      </c>
      <c r="L17" s="29">
        <f>Input_IS!L9</f>
        <v>0</v>
      </c>
      <c r="M17" s="29"/>
      <c r="N17" s="29">
        <f>Input_IS!N9</f>
        <v>0</v>
      </c>
      <c r="O17" s="29">
        <f>Input_IS!O9</f>
        <v>0</v>
      </c>
      <c r="P17" s="29">
        <f>Input_IS!P9</f>
        <v>0</v>
      </c>
      <c r="Q17" s="29"/>
      <c r="R17" s="29">
        <f>Input_IS!R9</f>
        <v>0</v>
      </c>
      <c r="S17" s="29">
        <f>Input_IS!S9</f>
        <v>0</v>
      </c>
      <c r="T17" s="29">
        <f>Input_IS!T9</f>
        <v>0</v>
      </c>
      <c r="U17" s="29"/>
      <c r="V17" s="29">
        <f>Input_IS!V9</f>
        <v>0</v>
      </c>
    </row>
    <row r="18" spans="1:22">
      <c r="A18" s="40" t="s">
        <v>32</v>
      </c>
      <c r="B18" s="31">
        <f>Input_IS!B12</f>
        <v>8152414</v>
      </c>
      <c r="C18" s="31">
        <f>Input_IS!C12</f>
        <v>9200218</v>
      </c>
      <c r="D18" s="31">
        <f>Input_IS!D12</f>
        <v>9792436</v>
      </c>
      <c r="E18" s="31">
        <v>37149780</v>
      </c>
      <c r="F18" s="31">
        <f>Input_IS!F12</f>
        <v>8415675</v>
      </c>
      <c r="G18" s="31">
        <f>Input_IS!G12</f>
        <v>6446968</v>
      </c>
      <c r="H18" s="31">
        <f>Input_IS!H12</f>
        <v>9598683</v>
      </c>
      <c r="I18" s="31">
        <v>39048252</v>
      </c>
      <c r="J18" s="31">
        <f>Input_IS!J12</f>
        <v>23181914</v>
      </c>
      <c r="K18" s="31">
        <f>Input_IS!K12</f>
        <v>18423973</v>
      </c>
      <c r="L18" s="31">
        <f>Input_IS!L12</f>
        <v>11961354</v>
      </c>
      <c r="M18" s="31">
        <v>61386227</v>
      </c>
      <c r="N18" s="31">
        <f>Input_IS!N12</f>
        <v>20777958</v>
      </c>
      <c r="O18" s="31">
        <f>Input_IS!O12</f>
        <v>13123072</v>
      </c>
      <c r="P18" s="31">
        <f>Input_IS!P12</f>
        <v>9422631</v>
      </c>
      <c r="Q18" s="31">
        <v>53238934</v>
      </c>
      <c r="R18" s="31">
        <v>10451435</v>
      </c>
      <c r="S18" s="31">
        <f>Input_IS!S12</f>
        <v>5705201</v>
      </c>
      <c r="T18" s="31">
        <f>Input_IS!T12</f>
        <v>0</v>
      </c>
      <c r="U18" s="31">
        <v>17405944</v>
      </c>
      <c r="V18" s="31">
        <f>Input_IS!V12</f>
        <v>2846843</v>
      </c>
    </row>
    <row r="19" spans="1:22">
      <c r="A19" s="28" t="s">
        <v>33</v>
      </c>
      <c r="B19" s="29">
        <f>Input_IS!B13</f>
        <v>-19487746</v>
      </c>
      <c r="C19" s="29">
        <f>Input_IS!C13</f>
        <v>-25516245</v>
      </c>
      <c r="D19" s="29">
        <f>Input_IS!D13</f>
        <v>-27238588</v>
      </c>
      <c r="E19" s="29">
        <v>-96881665</v>
      </c>
      <c r="F19" s="29">
        <f>Input_IS!F13</f>
        <v>-36058562</v>
      </c>
      <c r="G19" s="29">
        <f>Input_IS!G13</f>
        <v>-27372719</v>
      </c>
      <c r="H19" s="29">
        <f>Input_IS!H13</f>
        <v>-32270691</v>
      </c>
      <c r="I19" s="29">
        <v>-120983886</v>
      </c>
      <c r="J19" s="29">
        <f>Input_IS!J13</f>
        <v>-60788910</v>
      </c>
      <c r="K19" s="29">
        <f>Input_IS!K13</f>
        <v>-69575540</v>
      </c>
      <c r="L19" s="29">
        <f>Input_IS!L13</f>
        <v>-77449097</v>
      </c>
      <c r="M19" s="29">
        <v>-284546991</v>
      </c>
      <c r="N19" s="29">
        <f>Input_IS!N13</f>
        <v>-50398834</v>
      </c>
      <c r="O19" s="29">
        <f>Input_IS!O13</f>
        <v>-142327937</v>
      </c>
      <c r="P19" s="29">
        <f>Input_IS!P13</f>
        <v>-125551716</v>
      </c>
      <c r="Q19" s="29">
        <v>-419970876</v>
      </c>
      <c r="R19" s="29">
        <f>Input_IS!R13</f>
        <v>-145907163</v>
      </c>
      <c r="S19" s="29">
        <f>Input_IS!S13</f>
        <v>-150582657</v>
      </c>
      <c r="T19" s="29">
        <f>Input_IS!T13</f>
        <v>-120987527</v>
      </c>
      <c r="U19" s="29">
        <v>-511205682</v>
      </c>
      <c r="V19" s="29">
        <f>Input_IS!V13</f>
        <v>-134215084</v>
      </c>
    </row>
    <row r="20" spans="1:22">
      <c r="A20" s="30" t="s">
        <v>34</v>
      </c>
      <c r="B20" s="31">
        <f>Input_IS!B14</f>
        <v>0</v>
      </c>
      <c r="C20" s="31">
        <f>Input_IS!C14</f>
        <v>0</v>
      </c>
      <c r="D20" s="31">
        <f>Input_IS!D14</f>
        <v>0</v>
      </c>
      <c r="E20" s="31">
        <v>0</v>
      </c>
      <c r="F20" s="31">
        <f>Input_IS!F14</f>
        <v>0</v>
      </c>
      <c r="G20" s="31"/>
      <c r="H20" s="31"/>
      <c r="I20" s="31">
        <v>-17876887</v>
      </c>
      <c r="J20" s="31"/>
      <c r="K20" s="31"/>
      <c r="L20" s="31">
        <f>Input_IS!L14</f>
        <v>0</v>
      </c>
      <c r="M20" s="31"/>
      <c r="N20" s="31">
        <f>Input_IS!N14</f>
        <v>0</v>
      </c>
      <c r="O20" s="31">
        <f>Input_IS!O14</f>
        <v>0</v>
      </c>
      <c r="P20" s="31">
        <f>Input_IS!P14</f>
        <v>0</v>
      </c>
      <c r="Q20" s="31"/>
      <c r="R20" s="31"/>
      <c r="S20" s="31"/>
      <c r="T20" s="31">
        <f>Input_IS!T14</f>
        <v>0</v>
      </c>
      <c r="U20" s="31"/>
      <c r="V20" s="31">
        <f>Input_IS!V14</f>
        <v>0</v>
      </c>
    </row>
    <row r="21" spans="1:22">
      <c r="A21" s="28" t="s">
        <v>35</v>
      </c>
      <c r="B21" s="29">
        <f>Input_IS!B15</f>
        <v>0</v>
      </c>
      <c r="C21" s="29">
        <v>-1739273</v>
      </c>
      <c r="D21" s="29">
        <v>-2482598</v>
      </c>
      <c r="E21" s="29">
        <v>-8741557</v>
      </c>
      <c r="F21" s="29">
        <v>-2889888</v>
      </c>
      <c r="G21" s="29">
        <v>-2976758</v>
      </c>
      <c r="H21" s="29">
        <v>-3404892</v>
      </c>
      <c r="I21" s="29">
        <v>-13428920</v>
      </c>
      <c r="J21" s="29">
        <v>-4489921</v>
      </c>
      <c r="K21" s="29">
        <v>-4099534</v>
      </c>
      <c r="L21" s="29">
        <v>-5314781</v>
      </c>
      <c r="M21" s="29">
        <v>-19996861</v>
      </c>
      <c r="N21" s="29">
        <v>-6091471</v>
      </c>
      <c r="O21" s="29">
        <v>-5505928</v>
      </c>
      <c r="P21" s="29">
        <v>-6778789</v>
      </c>
      <c r="Q21" s="29">
        <v>-24619577</v>
      </c>
      <c r="R21" s="29">
        <v>-6022481</v>
      </c>
      <c r="S21" s="29">
        <v>-4893846</v>
      </c>
      <c r="T21" s="29">
        <v>-7018362</v>
      </c>
      <c r="U21" s="29">
        <v>-24071682</v>
      </c>
      <c r="V21" s="29">
        <f>Input_IS!V15</f>
        <v>-6580620</v>
      </c>
    </row>
    <row r="22" spans="1:22">
      <c r="A22" s="30" t="s">
        <v>83</v>
      </c>
      <c r="B22" s="31">
        <f>SUM(B15,B17:B21)</f>
        <v>-1853445</v>
      </c>
      <c r="C22" s="31">
        <f t="shared" ref="C22:V22" si="4">SUM(C15,C17:C21)</f>
        <v>-24281547</v>
      </c>
      <c r="D22" s="31">
        <f t="shared" si="4"/>
        <v>54608570</v>
      </c>
      <c r="E22" s="31">
        <f>SUM(E15,E18:E21)</f>
        <v>94374887</v>
      </c>
      <c r="F22" s="31">
        <f t="shared" si="4"/>
        <v>67980289</v>
      </c>
      <c r="G22" s="31">
        <f t="shared" si="4"/>
        <v>78394131</v>
      </c>
      <c r="H22" s="31">
        <f t="shared" si="4"/>
        <v>71738209</v>
      </c>
      <c r="I22" s="31">
        <f>SUM(I15,I17:I21)</f>
        <v>350622487</v>
      </c>
      <c r="J22" s="31">
        <f t="shared" si="4"/>
        <v>196660047</v>
      </c>
      <c r="K22" s="31">
        <f t="shared" si="4"/>
        <v>131878123</v>
      </c>
      <c r="L22" s="31">
        <f t="shared" si="4"/>
        <v>135754132</v>
      </c>
      <c r="M22" s="31">
        <f>SUM(M15,M18:M21)</f>
        <v>597813157</v>
      </c>
      <c r="N22" s="31">
        <f t="shared" si="4"/>
        <v>200652999</v>
      </c>
      <c r="O22" s="31">
        <f t="shared" si="4"/>
        <v>116962477</v>
      </c>
      <c r="P22" s="31">
        <f t="shared" si="4"/>
        <v>219283276</v>
      </c>
      <c r="Q22" s="31">
        <f>SUM(Q15,Q17:Q21)</f>
        <v>660697798</v>
      </c>
      <c r="R22" s="31">
        <f t="shared" si="4"/>
        <v>17378194</v>
      </c>
      <c r="S22" s="31">
        <f t="shared" si="4"/>
        <v>9306936</v>
      </c>
      <c r="T22" s="31">
        <f t="shared" si="4"/>
        <v>135480676</v>
      </c>
      <c r="U22" s="31">
        <f t="shared" si="4"/>
        <v>226200992</v>
      </c>
      <c r="V22" s="31">
        <f t="shared" si="4"/>
        <v>96098649</v>
      </c>
    </row>
    <row r="23" spans="1:22">
      <c r="A23" s="28" t="s">
        <v>36</v>
      </c>
      <c r="B23" s="29">
        <v>0</v>
      </c>
      <c r="C23" s="29">
        <v>-4835093</v>
      </c>
      <c r="D23" s="29">
        <v>-2139775</v>
      </c>
      <c r="E23" s="29">
        <v>-21949146</v>
      </c>
      <c r="F23" s="29">
        <v>-17606663</v>
      </c>
      <c r="G23" s="29">
        <v>-17666505</v>
      </c>
      <c r="H23" s="29">
        <v>-20156072</v>
      </c>
      <c r="I23" s="29">
        <v>-84920322</v>
      </c>
      <c r="J23" s="29">
        <v>-45303646</v>
      </c>
      <c r="K23" s="29">
        <v>-31049000</v>
      </c>
      <c r="L23" s="29">
        <v>-33644503</v>
      </c>
      <c r="M23" s="29">
        <v>-143374566</v>
      </c>
      <c r="N23" s="29">
        <v>-47350203</v>
      </c>
      <c r="O23" s="29">
        <v>-29202873</v>
      </c>
      <c r="P23" s="29">
        <v>-52768558</v>
      </c>
      <c r="Q23" s="29">
        <v>-159518137</v>
      </c>
      <c r="R23" s="29">
        <v>-6785470</v>
      </c>
      <c r="S23" s="29">
        <v>-5233881</v>
      </c>
      <c r="T23" s="29">
        <v>-34672584</v>
      </c>
      <c r="U23" s="29">
        <v>-64934163</v>
      </c>
      <c r="V23" s="29">
        <f>Input_IS!V16</f>
        <v>-27753036</v>
      </c>
    </row>
    <row r="24" spans="1:22" ht="15" customHeight="1">
      <c r="A24" s="35" t="s">
        <v>84</v>
      </c>
      <c r="B24" s="41">
        <f>B22+B23</f>
        <v>-1853445</v>
      </c>
      <c r="C24" s="41">
        <f t="shared" ref="C24:D24" si="5">C22+C23</f>
        <v>-29116640</v>
      </c>
      <c r="D24" s="41">
        <f t="shared" si="5"/>
        <v>52468795</v>
      </c>
      <c r="E24" s="41">
        <f>SUM(E22:E23)</f>
        <v>72425741</v>
      </c>
      <c r="F24" s="41">
        <f t="shared" ref="F24:V24" si="6">SUM(F22:F23)</f>
        <v>50373626</v>
      </c>
      <c r="G24" s="41">
        <f t="shared" si="6"/>
        <v>60727626</v>
      </c>
      <c r="H24" s="41">
        <f t="shared" si="6"/>
        <v>51582137</v>
      </c>
      <c r="I24" s="41">
        <f>SUM(I22:I23)</f>
        <v>265702165</v>
      </c>
      <c r="J24" s="41">
        <f>SUM(J22:J23)</f>
        <v>151356401</v>
      </c>
      <c r="K24" s="41">
        <f t="shared" si="6"/>
        <v>100829123</v>
      </c>
      <c r="L24" s="41">
        <f t="shared" si="6"/>
        <v>102109629</v>
      </c>
      <c r="M24" s="41">
        <f>SUM(M22:M23)</f>
        <v>454438591</v>
      </c>
      <c r="N24" s="41">
        <f t="shared" si="6"/>
        <v>153302796</v>
      </c>
      <c r="O24" s="41">
        <f t="shared" si="6"/>
        <v>87759604</v>
      </c>
      <c r="P24" s="41">
        <f t="shared" si="6"/>
        <v>166514718</v>
      </c>
      <c r="Q24" s="41">
        <f>SUM(Q22:Q23)</f>
        <v>501179661</v>
      </c>
      <c r="R24" s="41">
        <f>SUM(R22:R23)</f>
        <v>10592724</v>
      </c>
      <c r="S24" s="41">
        <f t="shared" si="6"/>
        <v>4073055</v>
      </c>
      <c r="T24" s="41">
        <f t="shared" si="6"/>
        <v>100808092</v>
      </c>
      <c r="U24" s="41">
        <f>SUM(U22:U23)</f>
        <v>161266829</v>
      </c>
      <c r="V24" s="41">
        <f t="shared" si="6"/>
        <v>68345613</v>
      </c>
    </row>
    <row r="25" spans="1:22">
      <c r="A25" s="44" t="s">
        <v>85</v>
      </c>
      <c r="B25" s="43">
        <f>IFERROR(B24/B2,0)</f>
        <v>-2.8642991172278787E-3</v>
      </c>
      <c r="C25" s="43">
        <f>IFERROR(C24/C2,0)</f>
        <v>-4.3463141121314185E-2</v>
      </c>
      <c r="D25" s="43">
        <f>IFERROR(D24/D2,0)</f>
        <v>5.4878445071415358E-2</v>
      </c>
      <c r="E25" s="47">
        <f>E24/E2</f>
        <v>2.1552008099079947E-2</v>
      </c>
      <c r="F25" s="43">
        <f>IFERROR(F24/F2,0)</f>
        <v>4.4908891771169905E-2</v>
      </c>
      <c r="G25" s="43">
        <f>IFERROR(G24/G2,0)</f>
        <v>5.2718525491541185E-2</v>
      </c>
      <c r="H25" s="43">
        <f>IFERROR(H24/H2,0)</f>
        <v>3.9113381182576512E-2</v>
      </c>
      <c r="I25" s="47">
        <v>8.7107884882322767E-2</v>
      </c>
      <c r="J25" s="43">
        <f t="shared" ref="J25:V25" si="7">IFERROR(J24/J2,0)</f>
        <v>8.661991058110613E-2</v>
      </c>
      <c r="K25" s="43">
        <f t="shared" si="7"/>
        <v>6.4082695429294817E-2</v>
      </c>
      <c r="L25" s="43">
        <f t="shared" si="7"/>
        <v>5.1025254192564387E-2</v>
      </c>
      <c r="M25" s="47">
        <f t="shared" si="7"/>
        <v>6.0555883358842398E-2</v>
      </c>
      <c r="N25" s="43">
        <f t="shared" si="7"/>
        <v>6.7174166137665886E-2</v>
      </c>
      <c r="O25" s="43">
        <f t="shared" si="7"/>
        <v>4.2511057847664971E-2</v>
      </c>
      <c r="P25" s="43">
        <f t="shared" si="7"/>
        <v>6.5456680673943099E-2</v>
      </c>
      <c r="Q25" s="47">
        <f t="shared" si="7"/>
        <v>5.4322684457782239E-2</v>
      </c>
      <c r="R25" s="43">
        <f t="shared" si="7"/>
        <v>4.7047034024134318E-3</v>
      </c>
      <c r="S25" s="43">
        <f t="shared" si="7"/>
        <v>2.0324565494888422E-3</v>
      </c>
      <c r="T25" s="43">
        <f t="shared" si="7"/>
        <v>3.7022730755566086E-2</v>
      </c>
      <c r="U25" s="47">
        <f t="shared" si="7"/>
        <v>1.7173569257879516E-2</v>
      </c>
      <c r="V25" s="43">
        <f t="shared" si="7"/>
        <v>2.67075692100558E-2</v>
      </c>
    </row>
    <row r="26" spans="1:22">
      <c r="A26" s="28" t="s">
        <v>37</v>
      </c>
      <c r="B26" s="29">
        <f>B24-B27</f>
        <v>-5287932</v>
      </c>
      <c r="C26" s="29">
        <f>C24-C27</f>
        <v>-58233620</v>
      </c>
      <c r="D26" s="29">
        <f>D24-D27</f>
        <v>104937006</v>
      </c>
      <c r="E26" s="29">
        <v>93922932</v>
      </c>
      <c r="F26" s="29">
        <f>F24-F27</f>
        <v>100747232</v>
      </c>
      <c r="G26" s="29">
        <f>G24-G27</f>
        <v>10354020</v>
      </c>
      <c r="H26" s="29">
        <f>H24-H27</f>
        <v>51582137</v>
      </c>
      <c r="I26" s="29">
        <v>428385246</v>
      </c>
      <c r="J26" s="29">
        <f>J24-J27</f>
        <v>0</v>
      </c>
      <c r="K26" s="29">
        <f>K24-K27</f>
        <v>504371174</v>
      </c>
      <c r="L26" s="29">
        <f>L24-L27</f>
        <v>-150076021</v>
      </c>
      <c r="M26" s="29">
        <v>454438562</v>
      </c>
      <c r="N26" s="29">
        <f>N24-N27</f>
        <v>153302796</v>
      </c>
      <c r="O26" s="29">
        <f>O24-O27</f>
        <v>87759603</v>
      </c>
      <c r="P26" s="29">
        <f>P24-P27</f>
        <v>166514713</v>
      </c>
      <c r="Q26" s="29">
        <v>501179645</v>
      </c>
      <c r="R26" s="29">
        <f>R24-R27</f>
        <v>10592722</v>
      </c>
      <c r="S26" s="29">
        <f>S24-S27</f>
        <v>4073046</v>
      </c>
      <c r="T26" s="29">
        <f>T24-T27</f>
        <v>100808076</v>
      </c>
      <c r="U26" s="29">
        <v>161266829</v>
      </c>
      <c r="V26" s="29">
        <f>V24-V27</f>
        <v>68345613</v>
      </c>
    </row>
    <row r="27" spans="1:22">
      <c r="A27" s="30" t="s">
        <v>38</v>
      </c>
      <c r="B27" s="31">
        <f>Input_IS!B18</f>
        <v>3434487</v>
      </c>
      <c r="C27" s="31">
        <f>Input_IS!C18</f>
        <v>29116980</v>
      </c>
      <c r="D27" s="31">
        <f>Input_IS!D18</f>
        <v>-52468211</v>
      </c>
      <c r="E27" s="31">
        <v>1519</v>
      </c>
      <c r="F27" s="31">
        <f>Input_IS!F18</f>
        <v>-50373606</v>
      </c>
      <c r="G27" s="31">
        <f>Input_IS!G18</f>
        <v>50373606</v>
      </c>
      <c r="H27" s="31">
        <f>Input_IS!H18</f>
        <v>0</v>
      </c>
      <c r="I27" s="31">
        <v>308</v>
      </c>
      <c r="J27" s="31">
        <f>Input_IS!J18</f>
        <v>151356401</v>
      </c>
      <c r="K27" s="31">
        <f>Input_IS!K18</f>
        <v>-403542051</v>
      </c>
      <c r="L27" s="31">
        <f>Input_IS!L18</f>
        <v>252185650</v>
      </c>
      <c r="M27" s="31">
        <v>29</v>
      </c>
      <c r="N27" s="31">
        <f>Input_IS!N18</f>
        <v>0</v>
      </c>
      <c r="O27" s="31">
        <f>Input_IS!O18</f>
        <v>1</v>
      </c>
      <c r="P27" s="31">
        <f>Input_IS!P18</f>
        <v>5</v>
      </c>
      <c r="Q27" s="31"/>
      <c r="R27" s="31">
        <f>Input_IS!R18</f>
        <v>2</v>
      </c>
      <c r="S27" s="31">
        <f>Input_IS!S18</f>
        <v>9</v>
      </c>
      <c r="T27" s="31">
        <f>Input_IS!T18</f>
        <v>16</v>
      </c>
      <c r="U27" s="31"/>
      <c r="V27" s="31">
        <f>Input_IS!V18</f>
        <v>0</v>
      </c>
    </row>
    <row r="28" spans="1:22" s="42" customFormat="1">
      <c r="A28" s="28" t="s">
        <v>39</v>
      </c>
      <c r="B28" s="45">
        <f>Input_IS!B19</f>
        <v>0</v>
      </c>
      <c r="C28" s="45">
        <f>Input_IS!C19</f>
        <v>0</v>
      </c>
      <c r="D28" s="45">
        <f>Input_IS!D19</f>
        <v>0</v>
      </c>
      <c r="E28" s="45">
        <v>0.20899999999999999</v>
      </c>
      <c r="F28" s="45">
        <f>Input_IS!F19</f>
        <v>0</v>
      </c>
      <c r="G28" s="45">
        <f>Input_IS!G19</f>
        <v>0</v>
      </c>
      <c r="H28" s="45">
        <f>Input_IS!H19</f>
        <v>0</v>
      </c>
      <c r="I28" s="45">
        <v>0.76</v>
      </c>
      <c r="J28" s="45">
        <f>Input_IS!J19</f>
        <v>0</v>
      </c>
      <c r="K28" s="45">
        <f>Input_IS!K19</f>
        <v>0</v>
      </c>
      <c r="L28" s="45">
        <f>Input_IS!L19</f>
        <v>0</v>
      </c>
      <c r="M28" s="45">
        <v>1.3</v>
      </c>
      <c r="N28" s="45">
        <f>Input_IS!N19</f>
        <v>0.44</v>
      </c>
      <c r="O28" s="45">
        <f>Input_IS!O19</f>
        <v>0.24999999999999994</v>
      </c>
      <c r="P28" s="45">
        <f>Input_IS!P19</f>
        <v>0.48</v>
      </c>
      <c r="Q28" s="45">
        <v>1.44</v>
      </c>
      <c r="R28" s="45">
        <f>Input_IS!R19</f>
        <v>0.03</v>
      </c>
      <c r="S28" s="45">
        <f>Input_IS!S19</f>
        <v>1.2999999999999998E-2</v>
      </c>
      <c r="T28" s="45">
        <f>Input_IS!T19</f>
        <v>0.28700000000000003</v>
      </c>
      <c r="U28" s="45">
        <v>0.46</v>
      </c>
      <c r="V28" s="45">
        <f>Input_IS!V19</f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5"/>
  <sheetViews>
    <sheetView topLeftCell="B1" workbookViewId="0">
      <selection activeCell="J14" sqref="J14"/>
    </sheetView>
  </sheetViews>
  <sheetFormatPr defaultRowHeight="13.8"/>
  <cols>
    <col min="1" max="1" width="62.296875" bestFit="1" customWidth="1"/>
    <col min="2" max="7" width="12" bestFit="1" customWidth="1"/>
    <col min="8" max="8" width="12.09765625" bestFit="1" customWidth="1"/>
    <col min="9" max="14" width="12" bestFit="1" customWidth="1"/>
    <col min="15" max="16" width="12.09765625" bestFit="1" customWidth="1"/>
    <col min="17" max="17" width="12" bestFit="1" customWidth="1"/>
    <col min="18" max="18" width="12.09765625" bestFit="1" customWidth="1"/>
    <col min="19" max="22" width="12" bestFit="1" customWidth="1"/>
  </cols>
  <sheetData>
    <row r="1" spans="1:22" ht="15.6">
      <c r="A1" s="27" t="s">
        <v>86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 spans="1:22" s="37" customFormat="1" ht="15" customHeight="1">
      <c r="A2" s="35" t="s">
        <v>113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5"/>
      <c r="T2" s="36"/>
      <c r="U2" s="36"/>
      <c r="V2" s="36"/>
    </row>
    <row r="3" spans="1:22" ht="15" customHeight="1">
      <c r="A3" s="28" t="s">
        <v>114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8"/>
      <c r="T3" s="29"/>
      <c r="U3" s="29"/>
      <c r="V3" s="29"/>
    </row>
    <row r="4" spans="1:22" ht="15" customHeight="1">
      <c r="A4" s="30" t="s">
        <v>41</v>
      </c>
      <c r="B4" s="31">
        <f>Input_BS!B2</f>
        <v>580716667</v>
      </c>
      <c r="C4" s="31">
        <f>Input_BS!C2</f>
        <v>680979431</v>
      </c>
      <c r="D4" s="31">
        <f>Input_BS!D2</f>
        <v>742771604</v>
      </c>
      <c r="E4" s="31">
        <f>Input_BS!E2</f>
        <v>730770964</v>
      </c>
      <c r="F4" s="31">
        <f>Input_BS!F2</f>
        <v>709089656</v>
      </c>
      <c r="G4" s="31">
        <f>Input_BS!G2</f>
        <v>686911526</v>
      </c>
      <c r="H4" s="31">
        <f>Input_BS!H2</f>
        <v>702438044</v>
      </c>
      <c r="I4" s="31">
        <f>Input_BS!I2</f>
        <v>693270370</v>
      </c>
      <c r="J4" s="31">
        <f>Input_BS!J2</f>
        <v>672151438</v>
      </c>
      <c r="K4" s="31">
        <f>Input_BS!K2</f>
        <v>749876972</v>
      </c>
      <c r="L4" s="31">
        <f>Input_BS!L2</f>
        <v>725908951</v>
      </c>
      <c r="M4" s="31">
        <f>Input_BS!M2</f>
        <v>776875848</v>
      </c>
      <c r="N4" s="31">
        <f>Input_BS!N2</f>
        <v>777075980</v>
      </c>
      <c r="O4" s="31">
        <f>Input_BS!O2</f>
        <v>795926750</v>
      </c>
      <c r="P4" s="31">
        <f>Input_BS!P2</f>
        <v>785832180</v>
      </c>
      <c r="Q4" s="31">
        <f>Input_BS!Q2</f>
        <v>811770762</v>
      </c>
      <c r="R4" s="31">
        <f>Input_BS!R2</f>
        <v>949274112</v>
      </c>
      <c r="S4" s="30">
        <f>Input_BS!S2</f>
        <v>922412917</v>
      </c>
      <c r="T4" s="31">
        <f>Input_BS!T2</f>
        <v>968233533</v>
      </c>
      <c r="U4" s="31">
        <f>Input_BS!U2</f>
        <v>989890873</v>
      </c>
      <c r="V4" s="31">
        <f>Input_BS!V2</f>
        <v>775409439</v>
      </c>
    </row>
    <row r="5" spans="1:22" ht="15" customHeight="1">
      <c r="A5" s="28" t="s">
        <v>42</v>
      </c>
      <c r="B5" s="29">
        <f>Input_BS!B3</f>
        <v>194092151</v>
      </c>
      <c r="C5" s="29">
        <f>Input_BS!C3</f>
        <v>109649645</v>
      </c>
      <c r="D5" s="29">
        <f>Input_BS!D3</f>
        <v>28446645</v>
      </c>
      <c r="E5" s="29">
        <f>Input_BS!E3</f>
        <v>2487907</v>
      </c>
      <c r="F5" s="29">
        <f>Input_BS!F3</f>
        <v>56001562</v>
      </c>
      <c r="G5" s="29">
        <f>Input_BS!G3</f>
        <v>61003069</v>
      </c>
      <c r="H5" s="29">
        <f>Input_BS!H3</f>
        <v>51373180</v>
      </c>
      <c r="I5" s="29">
        <f>Input_BS!I3</f>
        <v>102537315</v>
      </c>
      <c r="J5" s="29">
        <f>Input_BS!J3</f>
        <v>128895956</v>
      </c>
      <c r="K5" s="29">
        <f>Input_BS!K3</f>
        <v>88123214</v>
      </c>
      <c r="L5" s="29">
        <f>Input_BS!L3</f>
        <v>100624381</v>
      </c>
      <c r="M5" s="29">
        <f>Input_BS!M3</f>
        <v>38909533</v>
      </c>
      <c r="N5" s="29">
        <f>Input_BS!N3</f>
        <v>72462022</v>
      </c>
      <c r="O5" s="29">
        <f>Input_BS!O3</f>
        <v>175730482</v>
      </c>
      <c r="P5" s="29">
        <f>Input_BS!P3</f>
        <v>205091605</v>
      </c>
      <c r="Q5" s="29">
        <f>Input_BS!Q3</f>
        <v>197596471</v>
      </c>
      <c r="R5" s="29">
        <f>Input_BS!R3</f>
        <v>159402306</v>
      </c>
      <c r="S5" s="28">
        <f>Input_BS!S3</f>
        <v>173152041</v>
      </c>
      <c r="T5" s="29">
        <f>Input_BS!T3</f>
        <v>122350826</v>
      </c>
      <c r="U5" s="29">
        <f>Input_BS!U3</f>
        <v>89102731</v>
      </c>
      <c r="V5" s="29">
        <f>Input_BS!V3</f>
        <v>90000322</v>
      </c>
    </row>
    <row r="6" spans="1:22" ht="15" customHeight="1">
      <c r="A6" s="30" t="s">
        <v>43</v>
      </c>
      <c r="B6" s="31">
        <f>Input_BS!B4</f>
        <v>0</v>
      </c>
      <c r="C6" s="31">
        <f>Input_BS!C4</f>
        <v>0</v>
      </c>
      <c r="D6" s="31">
        <f>Input_BS!D4</f>
        <v>0</v>
      </c>
      <c r="E6" s="31">
        <f>Input_BS!E4</f>
        <v>0</v>
      </c>
      <c r="F6" s="31">
        <f>Input_BS!F4</f>
        <v>0</v>
      </c>
      <c r="G6" s="31">
        <f>Input_BS!G4</f>
        <v>0</v>
      </c>
      <c r="H6" s="31">
        <f>Input_BS!H4</f>
        <v>0</v>
      </c>
      <c r="I6" s="31">
        <f>Input_BS!I4</f>
        <v>0</v>
      </c>
      <c r="J6" s="31">
        <f>Input_BS!J4</f>
        <v>0</v>
      </c>
      <c r="K6" s="31">
        <f>Input_BS!K4</f>
        <v>0</v>
      </c>
      <c r="L6" s="31">
        <f>Input_BS!L4</f>
        <v>0</v>
      </c>
      <c r="M6" s="31">
        <f>Input_BS!M4</f>
        <v>3365395</v>
      </c>
      <c r="N6" s="31">
        <f>Input_BS!N4</f>
        <v>3365395</v>
      </c>
      <c r="O6" s="31">
        <f>Input_BS!O4</f>
        <v>3365395</v>
      </c>
      <c r="P6" s="31">
        <f>Input_BS!P4</f>
        <v>3365395</v>
      </c>
      <c r="Q6" s="31">
        <f>Input_BS!Q4</f>
        <v>0</v>
      </c>
      <c r="R6" s="31">
        <f>Input_BS!R4</f>
        <v>0</v>
      </c>
      <c r="S6" s="31">
        <f>Input_BS!S4</f>
        <v>0</v>
      </c>
      <c r="T6" s="31">
        <f>Input_BS!T4</f>
        <v>0</v>
      </c>
      <c r="U6" s="31">
        <f>Input_BS!U4</f>
        <v>0</v>
      </c>
      <c r="V6" s="31">
        <f>Input_BS!V4</f>
        <v>0</v>
      </c>
    </row>
    <row r="7" spans="1:22" ht="15" customHeight="1">
      <c r="A7" s="28" t="s">
        <v>44</v>
      </c>
      <c r="B7" s="29">
        <f>Input_BS!B5</f>
        <v>0</v>
      </c>
      <c r="C7" s="29">
        <f>Input_BS!C5</f>
        <v>0</v>
      </c>
      <c r="D7" s="29">
        <f>Input_BS!D5</f>
        <v>0</v>
      </c>
      <c r="E7" s="29">
        <f>Input_BS!E5</f>
        <v>0</v>
      </c>
      <c r="F7" s="29">
        <f>Input_BS!F5</f>
        <v>0</v>
      </c>
      <c r="G7" s="29">
        <f>Input_BS!G5</f>
        <v>0</v>
      </c>
      <c r="H7" s="29">
        <f>Input_BS!H5</f>
        <v>0</v>
      </c>
      <c r="I7" s="29">
        <f>Input_BS!I5</f>
        <v>0</v>
      </c>
      <c r="J7" s="29">
        <f>Input_BS!J5</f>
        <v>0</v>
      </c>
      <c r="K7" s="29">
        <f>Input_BS!K5</f>
        <v>0</v>
      </c>
      <c r="L7" s="29">
        <f>Input_BS!L5</f>
        <v>0</v>
      </c>
      <c r="M7" s="29">
        <f>Input_BS!M5</f>
        <v>0</v>
      </c>
      <c r="N7" s="29">
        <f>Input_BS!N5</f>
        <v>0</v>
      </c>
      <c r="O7" s="29">
        <f>Input_BS!O5</f>
        <v>0</v>
      </c>
      <c r="P7" s="29">
        <f>Input_BS!P5</f>
        <v>0</v>
      </c>
      <c r="Q7" s="29">
        <f>Input_BS!Q5</f>
        <v>0</v>
      </c>
      <c r="R7" s="29">
        <f>Input_BS!R5</f>
        <v>0</v>
      </c>
      <c r="S7" s="29">
        <f>Input_BS!S5</f>
        <v>0</v>
      </c>
      <c r="T7" s="29">
        <f>Input_BS!T5</f>
        <v>0</v>
      </c>
      <c r="U7" s="29">
        <f>Input_BS!U5</f>
        <v>0</v>
      </c>
      <c r="V7" s="29">
        <f>Input_BS!V5</f>
        <v>72502733</v>
      </c>
    </row>
    <row r="8" spans="1:22" ht="15" customHeight="1">
      <c r="A8" s="30" t="s">
        <v>45</v>
      </c>
      <c r="B8" s="31">
        <f>Input_BS!B6</f>
        <v>0</v>
      </c>
      <c r="C8" s="31">
        <f>Input_BS!C6</f>
        <v>0</v>
      </c>
      <c r="D8" s="31">
        <f>Input_BS!D6</f>
        <v>4629853</v>
      </c>
      <c r="E8" s="31">
        <f>Input_BS!E6</f>
        <v>54629853</v>
      </c>
      <c r="F8" s="31">
        <f>Input_BS!F6</f>
        <v>4629853</v>
      </c>
      <c r="G8" s="31">
        <f>Input_BS!G6</f>
        <v>4629853</v>
      </c>
      <c r="H8" s="31">
        <f>Input_BS!H6</f>
        <v>-753811224</v>
      </c>
      <c r="I8" s="31">
        <f>Input_BS!I6</f>
        <v>4018553</v>
      </c>
      <c r="J8" s="31">
        <v>4018553</v>
      </c>
      <c r="K8" s="31">
        <f>Input_BS!K6</f>
        <v>4155415</v>
      </c>
      <c r="L8" s="31">
        <f>Input_BS!L6</f>
        <v>4155415</v>
      </c>
      <c r="M8" s="31">
        <f>Input_BS!M6</f>
        <v>0</v>
      </c>
      <c r="N8" s="31">
        <f>Input_BS!N6</f>
        <v>0</v>
      </c>
      <c r="O8" s="31">
        <f>Input_BS!O6</f>
        <v>-974999020</v>
      </c>
      <c r="P8" s="31">
        <f>Input_BS!P6</f>
        <v>0</v>
      </c>
      <c r="Q8" s="31">
        <f>Input_BS!Q6</f>
        <v>0</v>
      </c>
      <c r="R8" s="31">
        <f>Input_BS!R6</f>
        <v>0</v>
      </c>
      <c r="S8" s="30">
        <f>Input_BS!S6</f>
        <v>0</v>
      </c>
      <c r="T8" s="31">
        <f>Input_BS!T6</f>
        <v>0</v>
      </c>
      <c r="U8" s="31">
        <f>Input_BS!U6</f>
        <v>0</v>
      </c>
      <c r="V8" s="31">
        <f>Input_BS!V6</f>
        <v>0</v>
      </c>
    </row>
    <row r="9" spans="1:22" ht="15" customHeight="1">
      <c r="A9" s="28" t="s">
        <v>115</v>
      </c>
      <c r="B9" s="29">
        <f t="shared" ref="B9:V9" si="0">SUM(B4:B8)</f>
        <v>774808818</v>
      </c>
      <c r="C9" s="29">
        <f t="shared" si="0"/>
        <v>790629076</v>
      </c>
      <c r="D9" s="29">
        <f t="shared" si="0"/>
        <v>775848102</v>
      </c>
      <c r="E9" s="29">
        <f t="shared" si="0"/>
        <v>787888724</v>
      </c>
      <c r="F9" s="29">
        <f t="shared" si="0"/>
        <v>769721071</v>
      </c>
      <c r="G9" s="29">
        <f t="shared" si="0"/>
        <v>752544448</v>
      </c>
      <c r="H9" s="29">
        <f t="shared" si="0"/>
        <v>0</v>
      </c>
      <c r="I9" s="29">
        <f t="shared" si="0"/>
        <v>799826238</v>
      </c>
      <c r="J9" s="29">
        <f t="shared" si="0"/>
        <v>805065947</v>
      </c>
      <c r="K9" s="29">
        <f t="shared" si="0"/>
        <v>842155601</v>
      </c>
      <c r="L9" s="29">
        <f t="shared" si="0"/>
        <v>830688747</v>
      </c>
      <c r="M9" s="29">
        <f t="shared" si="0"/>
        <v>819150776</v>
      </c>
      <c r="N9" s="29">
        <f t="shared" si="0"/>
        <v>852903397</v>
      </c>
      <c r="O9" s="29">
        <f t="shared" si="0"/>
        <v>23607</v>
      </c>
      <c r="P9" s="29">
        <f t="shared" si="0"/>
        <v>994289180</v>
      </c>
      <c r="Q9" s="29">
        <f t="shared" si="0"/>
        <v>1009367233</v>
      </c>
      <c r="R9" s="29">
        <f t="shared" si="0"/>
        <v>1108676418</v>
      </c>
      <c r="S9" s="28">
        <f t="shared" si="0"/>
        <v>1095564958</v>
      </c>
      <c r="T9" s="29">
        <f t="shared" si="0"/>
        <v>1090584359</v>
      </c>
      <c r="U9" s="29">
        <f t="shared" si="0"/>
        <v>1078993604</v>
      </c>
      <c r="V9" s="29">
        <f t="shared" si="0"/>
        <v>937912494</v>
      </c>
    </row>
    <row r="10" spans="1:22" ht="15" customHeight="1">
      <c r="A10" s="30" t="s">
        <v>116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1"/>
      <c r="Q10" s="31"/>
      <c r="R10" s="31"/>
      <c r="S10" s="30"/>
      <c r="T10" s="38"/>
      <c r="U10" s="38"/>
      <c r="V10" s="38"/>
    </row>
    <row r="11" spans="1:22" ht="15" customHeight="1">
      <c r="A11" s="28" t="s">
        <v>46</v>
      </c>
      <c r="B11" s="29">
        <f>Input_BS!B7</f>
        <v>357787229</v>
      </c>
      <c r="C11" s="29">
        <f>Input_BS!C7</f>
        <v>439773442</v>
      </c>
      <c r="D11" s="29">
        <f>Input_BS!D7</f>
        <v>494319945</v>
      </c>
      <c r="E11" s="29">
        <f>Input_BS!E7</f>
        <v>14255299</v>
      </c>
      <c r="F11" s="29">
        <f>Input_BS!F7</f>
        <v>15842107</v>
      </c>
      <c r="G11" s="29">
        <f>Input_BS!G7</f>
        <v>716197484</v>
      </c>
      <c r="H11" s="29">
        <f>Input_BS!H7</f>
        <v>0</v>
      </c>
      <c r="I11" s="29">
        <f>Input_BS!I7</f>
        <v>572087082</v>
      </c>
      <c r="J11" s="29">
        <f>Input_BS!J7</f>
        <v>755206928</v>
      </c>
      <c r="K11" s="29">
        <f>Input_BS!K7</f>
        <v>712189945</v>
      </c>
      <c r="L11" s="29">
        <f>Input_BS!L7</f>
        <v>687384207</v>
      </c>
      <c r="M11" s="29">
        <f>Input_BS!M7</f>
        <v>894981615</v>
      </c>
      <c r="N11" s="29">
        <f>Input_BS!N7</f>
        <v>1139385610</v>
      </c>
      <c r="O11" s="29">
        <f>Input_BS!O7</f>
        <v>4174473687</v>
      </c>
      <c r="P11" s="29">
        <f>Input_BS!P7</f>
        <v>1053367544</v>
      </c>
      <c r="Q11" s="29">
        <f>Input_BS!Q7</f>
        <v>1233048891</v>
      </c>
      <c r="R11" s="29">
        <f>Input_BS!R7</f>
        <v>0</v>
      </c>
      <c r="S11" s="29">
        <f>Input_BS!S7</f>
        <v>1465216424</v>
      </c>
      <c r="T11" s="29">
        <f>Input_BS!T7</f>
        <v>1080034913</v>
      </c>
      <c r="U11" s="29">
        <f>Input_BS!U7</f>
        <v>1250611372</v>
      </c>
      <c r="V11" s="29">
        <f>Input_BS!V7</f>
        <v>1194680642</v>
      </c>
    </row>
    <row r="12" spans="1:22" ht="15" customHeight="1">
      <c r="A12" s="30" t="s">
        <v>47</v>
      </c>
      <c r="B12" s="31">
        <f>Input_BS!B8</f>
        <v>610803432</v>
      </c>
      <c r="C12" s="31">
        <f>Input_BS!C8</f>
        <v>576907582</v>
      </c>
      <c r="D12" s="31">
        <f>Input_BS!D8</f>
        <v>669512956</v>
      </c>
      <c r="E12" s="31">
        <f>Input_BS!E8</f>
        <v>637237807</v>
      </c>
      <c r="F12" s="31">
        <f>Input_BS!F8</f>
        <v>686879995</v>
      </c>
      <c r="G12" s="31">
        <f>Input_BS!G8</f>
        <v>779953345</v>
      </c>
      <c r="H12" s="31">
        <f>Input_BS!H8</f>
        <v>0</v>
      </c>
      <c r="I12" s="31">
        <f>Input_BS!I8</f>
        <v>591657820</v>
      </c>
      <c r="J12" s="31">
        <f>Input_BS!J8</f>
        <v>0</v>
      </c>
      <c r="K12" s="31">
        <f>Input_BS!K8</f>
        <v>847346753</v>
      </c>
      <c r="L12" s="31">
        <f>Input_BS!L8</f>
        <v>988549365</v>
      </c>
      <c r="M12" s="31">
        <f>Input_BS!M8</f>
        <v>938184238</v>
      </c>
      <c r="N12" s="31">
        <f>Input_BS!N8</f>
        <v>1224208460</v>
      </c>
      <c r="O12" s="31">
        <f>Input_BS!O8</f>
        <v>231628902</v>
      </c>
      <c r="P12" s="31">
        <f>Input_BS!P8</f>
        <v>0</v>
      </c>
      <c r="Q12" s="31">
        <f>Input_BS!Q8</f>
        <v>1307396997</v>
      </c>
      <c r="R12" s="31">
        <f>Input_BS!R8</f>
        <v>1562872775</v>
      </c>
      <c r="S12" s="30">
        <f>Input_BS!S8</f>
        <v>1353994231</v>
      </c>
      <c r="T12" s="31">
        <f>Input_BS!T8</f>
        <v>1528959846</v>
      </c>
      <c r="U12" s="31">
        <f>Input_BS!U8</f>
        <v>1526519565</v>
      </c>
      <c r="V12" s="31">
        <f>Input_BS!V8</f>
        <v>1800636217</v>
      </c>
    </row>
    <row r="13" spans="1:22" ht="15" customHeight="1">
      <c r="A13" s="28" t="s">
        <v>48</v>
      </c>
      <c r="B13" s="29">
        <f>Input_BS!B9</f>
        <v>495455767</v>
      </c>
      <c r="C13" s="29">
        <f>Input_BS!C9</f>
        <v>505746612</v>
      </c>
      <c r="D13" s="29">
        <f>Input_BS!D9</f>
        <v>518535034</v>
      </c>
      <c r="E13" s="29">
        <f>Input_BS!E9</f>
        <v>957804744</v>
      </c>
      <c r="F13" s="29">
        <f>Input_BS!F9</f>
        <v>1005759600</v>
      </c>
      <c r="G13" s="29">
        <f>Input_BS!G9</f>
        <v>510256601</v>
      </c>
      <c r="H13" s="29">
        <f>Input_BS!H9</f>
        <v>-264146556</v>
      </c>
      <c r="I13" s="29">
        <f>Input_BS!I9</f>
        <v>695386168</v>
      </c>
      <c r="J13" s="29">
        <f>Input_BS!J9</f>
        <v>1609946301</v>
      </c>
      <c r="K13" s="29">
        <f>Input_BS!K9</f>
        <v>654150356</v>
      </c>
      <c r="L13" s="29">
        <f>Input_BS!L9</f>
        <v>443603657</v>
      </c>
      <c r="M13" s="29">
        <f>Input_BS!M9</f>
        <v>434976393</v>
      </c>
      <c r="N13" s="29">
        <f>Input_BS!N9</f>
        <v>879563603</v>
      </c>
      <c r="O13" s="29">
        <f>Input_BS!O9</f>
        <v>-1504177669</v>
      </c>
      <c r="P13" s="29">
        <f>Input_BS!P9</f>
        <v>1905769483</v>
      </c>
      <c r="Q13" s="29">
        <f>Input_BS!Q9</f>
        <v>574627117</v>
      </c>
      <c r="R13" s="29">
        <f>Input_BS!R9</f>
        <v>2184098077</v>
      </c>
      <c r="S13" s="29">
        <f>Input_BS!S9</f>
        <v>456607125</v>
      </c>
      <c r="T13" s="29">
        <f>Input_BS!T9</f>
        <v>388344339</v>
      </c>
      <c r="U13" s="29">
        <f>Input_BS!U9</f>
        <v>450154473</v>
      </c>
      <c r="V13" s="29">
        <f>Input_BS!V9</f>
        <v>691837974</v>
      </c>
    </row>
    <row r="14" spans="1:22" ht="15" customHeight="1">
      <c r="A14" s="30" t="s">
        <v>117</v>
      </c>
      <c r="B14" s="31">
        <f>Input_BS!B10</f>
        <v>0</v>
      </c>
      <c r="C14" s="31">
        <f>Input_BS!C10</f>
        <v>0</v>
      </c>
      <c r="D14" s="31">
        <f>Input_BS!D10</f>
        <v>0</v>
      </c>
      <c r="E14" s="31">
        <f>Input_BS!E10</f>
        <v>0</v>
      </c>
      <c r="F14" s="31">
        <f>Input_BS!F10</f>
        <v>0</v>
      </c>
      <c r="G14" s="31">
        <f>Input_BS!G10</f>
        <v>0</v>
      </c>
      <c r="H14" s="31">
        <f>Input_BS!H10</f>
        <v>0</v>
      </c>
      <c r="I14" s="31">
        <f>Input_BS!I10</f>
        <v>0</v>
      </c>
      <c r="J14" s="31">
        <f>Input_BS!J10</f>
        <v>0</v>
      </c>
      <c r="K14" s="31">
        <f>Input_BS!K10</f>
        <v>0</v>
      </c>
      <c r="L14" s="31">
        <f>Input_BS!L10</f>
        <v>0</v>
      </c>
      <c r="M14" s="31">
        <f>Input_BS!M10</f>
        <v>0</v>
      </c>
      <c r="N14" s="31">
        <f>Input_BS!N10</f>
        <v>0</v>
      </c>
      <c r="O14" s="31">
        <f>Input_BS!O10</f>
        <v>0</v>
      </c>
      <c r="P14" s="31">
        <f>Input_BS!P10</f>
        <v>0</v>
      </c>
      <c r="Q14" s="31">
        <f>Input_BS!Q10</f>
        <v>0</v>
      </c>
      <c r="R14" s="31">
        <f>Input_BS!R10</f>
        <v>0</v>
      </c>
      <c r="S14" s="30">
        <f>Input_BS!S10</f>
        <v>0</v>
      </c>
      <c r="T14" s="31">
        <f>Input_BS!T10</f>
        <v>0</v>
      </c>
      <c r="U14" s="31">
        <f>Input_BS!U10</f>
        <v>0</v>
      </c>
      <c r="V14" s="31">
        <f>Input_BS!V10</f>
        <v>0</v>
      </c>
    </row>
    <row r="15" spans="1:22" ht="15" customHeight="1">
      <c r="A15" s="40" t="s">
        <v>50</v>
      </c>
      <c r="B15" s="31">
        <f>Input_BS!B11</f>
        <v>125038404</v>
      </c>
      <c r="C15" s="31">
        <f>Input_BS!C11</f>
        <v>128075432</v>
      </c>
      <c r="D15" s="31">
        <f>Input_BS!D11</f>
        <v>132770425</v>
      </c>
      <c r="E15" s="31">
        <f>Input_BS!E11</f>
        <v>163942106</v>
      </c>
      <c r="F15" s="31">
        <f>Input_BS!F11</f>
        <v>177666199</v>
      </c>
      <c r="G15" s="31">
        <f>Input_BS!G11</f>
        <v>205680242</v>
      </c>
      <c r="H15" s="31">
        <f>Input_BS!H11</f>
        <v>264146556</v>
      </c>
      <c r="I15" s="31">
        <f>Input_BS!I11</f>
        <v>440158488</v>
      </c>
      <c r="J15" s="31">
        <f>Input_BS!J11</f>
        <v>381407058</v>
      </c>
      <c r="K15" s="31">
        <f>Input_BS!K11</f>
        <v>219936811</v>
      </c>
      <c r="L15" s="31">
        <f>Input_BS!L11</f>
        <v>542098898</v>
      </c>
      <c r="M15" s="31">
        <f>Input_BS!M11</f>
        <v>522517539</v>
      </c>
      <c r="N15" s="31">
        <f>Input_BS!N11</f>
        <v>279255117</v>
      </c>
      <c r="O15" s="31">
        <f>Input_BS!O11</f>
        <v>474252647</v>
      </c>
      <c r="P15" s="31">
        <f>Input_BS!P11</f>
        <v>520423136</v>
      </c>
      <c r="Q15" s="31">
        <f>Input_BS!Q11</f>
        <v>595006347</v>
      </c>
      <c r="R15" s="31">
        <f>Input_BS!R11</f>
        <v>521552628</v>
      </c>
      <c r="S15" s="31">
        <f>Input_BS!S11</f>
        <v>271483760</v>
      </c>
      <c r="T15" s="31">
        <f>Input_BS!T11</f>
        <v>174356463</v>
      </c>
      <c r="U15" s="31">
        <f>Input_BS!U11</f>
        <v>618922303</v>
      </c>
      <c r="V15" s="31">
        <f>Input_BS!V11</f>
        <v>319665548</v>
      </c>
    </row>
    <row r="16" spans="1:22" s="37" customFormat="1" ht="15" customHeight="1">
      <c r="A16" s="32" t="s">
        <v>118</v>
      </c>
      <c r="B16" s="39">
        <f t="shared" ref="B16:V16" si="1">SUM(B11:B15)</f>
        <v>1589084832</v>
      </c>
      <c r="C16" s="39">
        <f t="shared" si="1"/>
        <v>1650503068</v>
      </c>
      <c r="D16" s="39">
        <f t="shared" si="1"/>
        <v>1815138360</v>
      </c>
      <c r="E16" s="39">
        <f t="shared" si="1"/>
        <v>1773239956</v>
      </c>
      <c r="F16" s="39">
        <f t="shared" si="1"/>
        <v>1886147901</v>
      </c>
      <c r="G16" s="39">
        <f t="shared" si="1"/>
        <v>2212087672</v>
      </c>
      <c r="H16" s="39">
        <f t="shared" si="1"/>
        <v>0</v>
      </c>
      <c r="I16" s="39">
        <f t="shared" si="1"/>
        <v>2299289558</v>
      </c>
      <c r="J16" s="39">
        <f t="shared" si="1"/>
        <v>2746560287</v>
      </c>
      <c r="K16" s="39">
        <f t="shared" si="1"/>
        <v>2433623865</v>
      </c>
      <c r="L16" s="39">
        <f t="shared" si="1"/>
        <v>2661636127</v>
      </c>
      <c r="M16" s="39">
        <f t="shared" si="1"/>
        <v>2790659785</v>
      </c>
      <c r="N16" s="39">
        <f t="shared" si="1"/>
        <v>3522412790</v>
      </c>
      <c r="O16" s="39">
        <f t="shared" si="1"/>
        <v>3376177567</v>
      </c>
      <c r="P16" s="39">
        <f t="shared" si="1"/>
        <v>3479560163</v>
      </c>
      <c r="Q16" s="39">
        <f t="shared" si="1"/>
        <v>3710079352</v>
      </c>
      <c r="R16" s="39">
        <f t="shared" si="1"/>
        <v>4268523480</v>
      </c>
      <c r="S16" s="39">
        <f t="shared" si="1"/>
        <v>3547301540</v>
      </c>
      <c r="T16" s="39">
        <f t="shared" si="1"/>
        <v>3171695561</v>
      </c>
      <c r="U16" s="39">
        <f t="shared" si="1"/>
        <v>3846207713</v>
      </c>
      <c r="V16" s="39">
        <f t="shared" si="1"/>
        <v>4006820381</v>
      </c>
    </row>
    <row r="17" spans="1:22" ht="15" customHeight="1">
      <c r="A17" s="35" t="s">
        <v>119</v>
      </c>
      <c r="B17" s="41">
        <f>B9+B16</f>
        <v>2363893650</v>
      </c>
      <c r="C17" s="41">
        <f>C9+C16</f>
        <v>2441132144</v>
      </c>
      <c r="D17" s="41">
        <f t="shared" ref="D17:V17" si="2">D9+D16</f>
        <v>2590986462</v>
      </c>
      <c r="E17" s="41">
        <f t="shared" si="2"/>
        <v>2561128680</v>
      </c>
      <c r="F17" s="41">
        <f t="shared" si="2"/>
        <v>2655868972</v>
      </c>
      <c r="G17" s="41">
        <f t="shared" si="2"/>
        <v>2964632120</v>
      </c>
      <c r="H17" s="41">
        <f t="shared" si="2"/>
        <v>0</v>
      </c>
      <c r="I17" s="41">
        <f t="shared" si="2"/>
        <v>3099115796</v>
      </c>
      <c r="J17" s="41">
        <f t="shared" si="2"/>
        <v>3551626234</v>
      </c>
      <c r="K17" s="41">
        <f t="shared" si="2"/>
        <v>3275779466</v>
      </c>
      <c r="L17" s="41">
        <f t="shared" si="2"/>
        <v>3492324874</v>
      </c>
      <c r="M17" s="41">
        <f t="shared" si="2"/>
        <v>3609810561</v>
      </c>
      <c r="N17" s="41">
        <f t="shared" si="2"/>
        <v>4375316187</v>
      </c>
      <c r="O17" s="41">
        <f t="shared" si="2"/>
        <v>3376201174</v>
      </c>
      <c r="P17" s="41">
        <f t="shared" si="2"/>
        <v>4473849343</v>
      </c>
      <c r="Q17" s="41">
        <f t="shared" si="2"/>
        <v>4719446585</v>
      </c>
      <c r="R17" s="41">
        <f t="shared" si="2"/>
        <v>5377199898</v>
      </c>
      <c r="S17" s="41">
        <f t="shared" si="2"/>
        <v>4642866498</v>
      </c>
      <c r="T17" s="41">
        <f t="shared" si="2"/>
        <v>4262279920</v>
      </c>
      <c r="U17" s="41">
        <f t="shared" si="2"/>
        <v>4925201317</v>
      </c>
      <c r="V17" s="41">
        <f t="shared" si="2"/>
        <v>4944732875</v>
      </c>
    </row>
    <row r="18" spans="1:22" ht="15" customHeight="1">
      <c r="A18" s="30" t="s">
        <v>120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1"/>
      <c r="P18" s="38"/>
      <c r="Q18" s="38"/>
      <c r="R18" s="38"/>
      <c r="S18" s="30"/>
      <c r="T18" s="38"/>
      <c r="U18" s="38"/>
      <c r="V18" s="38"/>
    </row>
    <row r="19" spans="1:22" ht="15" customHeight="1">
      <c r="A19" s="28" t="s">
        <v>51</v>
      </c>
      <c r="B19" s="29">
        <f>Input_BS!B12</f>
        <v>56521739</v>
      </c>
      <c r="C19" s="29">
        <f>Input_BS!C12</f>
        <v>56521739</v>
      </c>
      <c r="D19" s="29">
        <f>Input_BS!D12</f>
        <v>56521739</v>
      </c>
      <c r="E19" s="29">
        <f>Input_BS!E12</f>
        <v>56521739</v>
      </c>
      <c r="F19" s="29">
        <f>Input_BS!F12</f>
        <v>56521739</v>
      </c>
      <c r="G19" s="29">
        <f>Input_BS!G12</f>
        <v>56521739</v>
      </c>
      <c r="H19" s="29">
        <f>Input_BS!H12</f>
        <v>56521739</v>
      </c>
      <c r="I19" s="29">
        <f>Input_BS!I12</f>
        <v>56521739</v>
      </c>
      <c r="J19" s="29">
        <f>Input_BS!J12</f>
        <v>56521739</v>
      </c>
      <c r="K19" s="29">
        <f>Input_BS!K12</f>
        <v>56521739</v>
      </c>
      <c r="L19" s="29">
        <f>Input_BS!L12</f>
        <v>56521739</v>
      </c>
      <c r="M19" s="29">
        <f>Input_BS!M12</f>
        <v>56521739</v>
      </c>
      <c r="N19" s="29">
        <f>Input_BS!N12</f>
        <v>56521739</v>
      </c>
      <c r="O19" s="29">
        <f>Input_BS!O12</f>
        <v>56521739</v>
      </c>
      <c r="P19" s="29">
        <f>Input_BS!P12</f>
        <v>56521739</v>
      </c>
      <c r="Q19" s="29">
        <f>Input_BS!Q12</f>
        <v>56521739</v>
      </c>
      <c r="R19" s="29">
        <f>Input_BS!R12</f>
        <v>56521739</v>
      </c>
      <c r="S19" s="28">
        <f>Input_BS!S12</f>
        <v>56521739</v>
      </c>
      <c r="T19" s="29">
        <f>Input_BS!T12</f>
        <v>56521739</v>
      </c>
      <c r="U19" s="29">
        <f>Input_BS!U12</f>
        <v>56521739</v>
      </c>
      <c r="V19" s="29">
        <f>Input_BS!V12</f>
        <v>56521739</v>
      </c>
    </row>
    <row r="20" spans="1:22" ht="15" customHeight="1">
      <c r="A20" s="30" t="s">
        <v>52</v>
      </c>
      <c r="B20" s="31">
        <f>Input_BS!B13</f>
        <v>28260870</v>
      </c>
      <c r="C20" s="31">
        <f>Input_BS!C13</f>
        <v>28260870</v>
      </c>
      <c r="D20" s="31">
        <f>Input_BS!D13</f>
        <v>28260870</v>
      </c>
      <c r="E20" s="31">
        <f>Input_BS!E13</f>
        <v>28260870</v>
      </c>
      <c r="F20" s="31">
        <f>Input_BS!F13</f>
        <v>28260870</v>
      </c>
      <c r="G20" s="31">
        <f>Input_BS!G13</f>
        <v>28260870</v>
      </c>
      <c r="H20" s="31">
        <f>Input_BS!H13</f>
        <v>28260870</v>
      </c>
      <c r="I20" s="31">
        <f>Input_BS!I13</f>
        <v>28260870</v>
      </c>
      <c r="J20" s="31">
        <f>Input_BS!J13</f>
        <v>28260870</v>
      </c>
      <c r="K20" s="31">
        <f>Input_BS!K13</f>
        <v>28260870</v>
      </c>
      <c r="L20" s="31">
        <f>Input_BS!L13</f>
        <v>28260870</v>
      </c>
      <c r="M20" s="31">
        <f>Input_BS!M13</f>
        <v>28260870</v>
      </c>
      <c r="N20" s="31">
        <f>Input_BS!N13</f>
        <v>28260870</v>
      </c>
      <c r="O20" s="31">
        <f>Input_BS!O13</f>
        <v>28260870</v>
      </c>
      <c r="P20" s="31">
        <f>Input_BS!P13</f>
        <v>28260870</v>
      </c>
      <c r="Q20" s="31">
        <f>Input_BS!Q13</f>
        <v>28260870</v>
      </c>
      <c r="R20" s="31">
        <f>Input_BS!R13</f>
        <v>28260870</v>
      </c>
      <c r="S20" s="30">
        <f>Input_BS!S13</f>
        <v>28260870</v>
      </c>
      <c r="T20" s="31">
        <f>Input_BS!T13</f>
        <v>28260870</v>
      </c>
      <c r="U20" s="31">
        <f>Input_BS!U13</f>
        <v>28260870</v>
      </c>
      <c r="V20" s="31">
        <f>Input_BS!V13</f>
        <v>28260870</v>
      </c>
    </row>
    <row r="21" spans="1:22" ht="15" customHeight="1">
      <c r="A21" s="28" t="s">
        <v>53</v>
      </c>
      <c r="B21" s="29">
        <f>Input_BS!B14</f>
        <v>283422423</v>
      </c>
      <c r="C21" s="29">
        <f>Input_BS!C14</f>
        <v>283422423</v>
      </c>
      <c r="D21" s="29">
        <f>Input_BS!D14</f>
        <v>283422423</v>
      </c>
      <c r="E21" s="29">
        <f>Input_BS!E14</f>
        <v>283422423</v>
      </c>
      <c r="F21" s="29">
        <f>Input_BS!F14</f>
        <v>283422423</v>
      </c>
      <c r="G21" s="29">
        <f>Input_BS!G14</f>
        <v>283422423</v>
      </c>
      <c r="H21" s="29">
        <f>Input_BS!H14</f>
        <v>283422423</v>
      </c>
      <c r="I21" s="29">
        <f>Input_BS!I14</f>
        <v>283422423</v>
      </c>
      <c r="J21" s="29">
        <f>Input_BS!J14</f>
        <v>283422423</v>
      </c>
      <c r="K21" s="29">
        <f>Input_BS!K14</f>
        <v>283422423</v>
      </c>
      <c r="L21" s="29">
        <f>Input_BS!L14</f>
        <v>283422423</v>
      </c>
      <c r="M21" s="29">
        <f>Input_BS!M14</f>
        <v>283422423</v>
      </c>
      <c r="N21" s="29">
        <f>Input_BS!N14</f>
        <v>283422423</v>
      </c>
      <c r="O21" s="29">
        <f>Input_BS!O14</f>
        <v>283422423</v>
      </c>
      <c r="P21" s="29">
        <f>Input_BS!P14</f>
        <v>283422423</v>
      </c>
      <c r="Q21" s="29">
        <f>Input_BS!Q14</f>
        <v>283422423</v>
      </c>
      <c r="R21" s="29">
        <f>Input_BS!R14</f>
        <v>283422423</v>
      </c>
      <c r="S21" s="28">
        <f>Input_BS!S14</f>
        <v>283422423</v>
      </c>
      <c r="T21" s="29">
        <f>Input_BS!T14</f>
        <v>283422423</v>
      </c>
      <c r="U21" s="29">
        <f>Input_BS!U14</f>
        <v>283422423</v>
      </c>
      <c r="V21" s="29">
        <f>Input_BS!V14</f>
        <v>283422423</v>
      </c>
    </row>
    <row r="22" spans="1:22" ht="15" customHeight="1">
      <c r="A22" s="30" t="s">
        <v>54</v>
      </c>
      <c r="B22" s="31">
        <f>Input_BS!B15</f>
        <v>170196</v>
      </c>
      <c r="C22" s="31">
        <f>Input_BS!C15</f>
        <v>170196</v>
      </c>
      <c r="D22" s="31">
        <f>Input_BS!D15</f>
        <v>170196</v>
      </c>
      <c r="E22" s="31">
        <f>Input_BS!E15</f>
        <v>170196</v>
      </c>
      <c r="F22" s="31">
        <f>Input_BS!F15</f>
        <v>170196</v>
      </c>
      <c r="G22" s="31">
        <f>Input_BS!G15</f>
        <v>170196</v>
      </c>
      <c r="H22" s="31">
        <f>Input_BS!H15</f>
        <v>170196</v>
      </c>
      <c r="I22" s="31">
        <f>Input_BS!I15</f>
        <v>170196</v>
      </c>
      <c r="J22" s="31">
        <f>Input_BS!J15</f>
        <v>170196</v>
      </c>
      <c r="K22" s="31">
        <f>Input_BS!K15</f>
        <v>170196</v>
      </c>
      <c r="L22" s="31">
        <f>Input_BS!L15</f>
        <v>170196</v>
      </c>
      <c r="M22" s="31">
        <f>Input_BS!M15</f>
        <v>170196</v>
      </c>
      <c r="N22" s="31">
        <f>Input_BS!N15</f>
        <v>170196</v>
      </c>
      <c r="O22" s="31">
        <f>Input_BS!O15</f>
        <v>170196</v>
      </c>
      <c r="P22" s="31">
        <f>Input_BS!P15</f>
        <v>170196</v>
      </c>
      <c r="Q22" s="31">
        <f>Input_BS!Q15</f>
        <v>170196</v>
      </c>
      <c r="R22" s="31">
        <f>Input_BS!R15</f>
        <v>170196</v>
      </c>
      <c r="S22" s="31">
        <f>Input_BS!S15</f>
        <v>170196</v>
      </c>
      <c r="T22" s="31">
        <f>Input_BS!T15</f>
        <v>170196</v>
      </c>
      <c r="U22" s="31">
        <f>Input_BS!U15</f>
        <v>170196</v>
      </c>
      <c r="V22" s="31">
        <f>Input_BS!V15</f>
        <v>170196</v>
      </c>
    </row>
    <row r="23" spans="1:22" ht="15" customHeight="1">
      <c r="A23" s="28" t="s">
        <v>55</v>
      </c>
      <c r="B23" s="29">
        <f>Input_BS!B16</f>
        <v>437425924</v>
      </c>
      <c r="C23" s="29">
        <f>Input_BS!C16</f>
        <v>409775809</v>
      </c>
      <c r="D23" s="29">
        <f>Input_BS!D16</f>
        <v>460778079</v>
      </c>
      <c r="E23" s="29">
        <f>Input_BS!E16</f>
        <v>490330894</v>
      </c>
      <c r="F23" s="29">
        <f>Input_BS!F16</f>
        <v>540704520</v>
      </c>
      <c r="G23" s="29">
        <f>Input_BS!G16</f>
        <v>601432146</v>
      </c>
      <c r="H23" s="29">
        <f>Input_BS!H16</f>
        <v>-368353839</v>
      </c>
      <c r="I23" s="29">
        <f>Input_BS!I16</f>
        <v>756033059</v>
      </c>
      <c r="J23" s="29">
        <f>Input_BS!J16</f>
        <v>-92610540</v>
      </c>
      <c r="K23" s="29">
        <f>Input_BS!K16</f>
        <v>822314279</v>
      </c>
      <c r="L23" s="29">
        <f>Input_BS!L16</f>
        <v>902787741</v>
      </c>
      <c r="M23" s="29">
        <f>Input_BS!M16</f>
        <v>932671519</v>
      </c>
      <c r="N23" s="29">
        <f>Input_BS!N16</f>
        <v>1085974315</v>
      </c>
      <c r="O23" s="29">
        <f>Input_BS!O16</f>
        <v>-12170361</v>
      </c>
      <c r="P23" s="29">
        <f>Input_BS!P16</f>
        <v>-367655643</v>
      </c>
      <c r="Q23" s="29">
        <f>Input_BS!Q16</f>
        <v>1247938694</v>
      </c>
      <c r="R23" s="29">
        <f>Input_BS!R16</f>
        <v>4258539604</v>
      </c>
      <c r="S23" s="28">
        <f>Input_BS!S16</f>
        <v>962733433</v>
      </c>
      <c r="T23" s="29">
        <f>Input_BS!T16</f>
        <v>1063541525</v>
      </c>
      <c r="U23" s="29">
        <f>Input_BS!U16</f>
        <v>1109326281</v>
      </c>
      <c r="V23" s="29">
        <f>Input_BS!V16</f>
        <v>1153512638</v>
      </c>
    </row>
    <row r="24" spans="1:22" ht="15" customHeight="1">
      <c r="A24" s="30" t="s">
        <v>56</v>
      </c>
      <c r="B24" s="31">
        <f>Input_BS!B17</f>
        <v>0</v>
      </c>
      <c r="C24" s="31">
        <f>Input_BS!C17</f>
        <v>0</v>
      </c>
      <c r="D24" s="31">
        <f>Input_BS!D17</f>
        <v>0</v>
      </c>
      <c r="E24" s="31">
        <f>Input_BS!E17</f>
        <v>0</v>
      </c>
      <c r="F24" s="31">
        <f>Input_BS!F17</f>
        <v>0</v>
      </c>
      <c r="G24" s="31">
        <f>Input_BS!G17</f>
        <v>0</v>
      </c>
      <c r="H24" s="31">
        <f>Input_BS!H17</f>
        <v>0</v>
      </c>
      <c r="I24" s="31">
        <f>Input_BS!I17</f>
        <v>0</v>
      </c>
      <c r="J24" s="31">
        <f>Input_BS!J17</f>
        <v>0</v>
      </c>
      <c r="K24" s="31">
        <f>Input_BS!K17</f>
        <v>0</v>
      </c>
      <c r="L24" s="31">
        <f>Input_BS!L17</f>
        <v>0</v>
      </c>
      <c r="M24" s="31">
        <f>Input_BS!M17</f>
        <v>0</v>
      </c>
      <c r="N24" s="31">
        <f>Input_BS!N17</f>
        <v>0</v>
      </c>
      <c r="O24" s="31">
        <f>Input_BS!O17</f>
        <v>0</v>
      </c>
      <c r="P24" s="31">
        <f>Input_BS!P17</f>
        <v>0</v>
      </c>
      <c r="Q24" s="31">
        <f>Input_BS!Q17</f>
        <v>8186</v>
      </c>
      <c r="R24" s="31">
        <f>Input_BS!R17</f>
        <v>0</v>
      </c>
      <c r="S24" s="30">
        <f>Input_BS!S17</f>
        <v>0</v>
      </c>
      <c r="T24" s="31">
        <f>Input_BS!T17</f>
        <v>0</v>
      </c>
      <c r="U24" s="31">
        <f>Input_BS!U17</f>
        <v>8202</v>
      </c>
      <c r="V24" s="31">
        <f>Input_BS!V17</f>
        <v>0</v>
      </c>
    </row>
    <row r="25" spans="1:22" ht="15" customHeight="1">
      <c r="A25" s="32" t="s">
        <v>121</v>
      </c>
      <c r="B25" s="39">
        <f t="shared" ref="B25:V25" si="3">SUM(B19:B24)</f>
        <v>805801152</v>
      </c>
      <c r="C25" s="39">
        <f t="shared" si="3"/>
        <v>778151037</v>
      </c>
      <c r="D25" s="39">
        <f t="shared" si="3"/>
        <v>829153307</v>
      </c>
      <c r="E25" s="39">
        <f t="shared" si="3"/>
        <v>858706122</v>
      </c>
      <c r="F25" s="39">
        <f t="shared" si="3"/>
        <v>909079748</v>
      </c>
      <c r="G25" s="39">
        <f t="shared" si="3"/>
        <v>969807374</v>
      </c>
      <c r="H25" s="39">
        <f t="shared" si="3"/>
        <v>21389</v>
      </c>
      <c r="I25" s="39">
        <f t="shared" si="3"/>
        <v>1124408287</v>
      </c>
      <c r="J25" s="39">
        <f t="shared" si="3"/>
        <v>275764688</v>
      </c>
      <c r="K25" s="39">
        <f t="shared" si="3"/>
        <v>1190689507</v>
      </c>
      <c r="L25" s="39">
        <f t="shared" si="3"/>
        <v>1271162969</v>
      </c>
      <c r="M25" s="39">
        <f t="shared" si="3"/>
        <v>1301046747</v>
      </c>
      <c r="N25" s="39">
        <f t="shared" si="3"/>
        <v>1454349543</v>
      </c>
      <c r="O25" s="39">
        <f t="shared" si="3"/>
        <v>356204867</v>
      </c>
      <c r="P25" s="39">
        <f t="shared" si="3"/>
        <v>719585</v>
      </c>
      <c r="Q25" s="39">
        <f t="shared" si="3"/>
        <v>1616322108</v>
      </c>
      <c r="R25" s="39">
        <f t="shared" si="3"/>
        <v>4626914832</v>
      </c>
      <c r="S25" s="32">
        <f t="shared" si="3"/>
        <v>1331108661</v>
      </c>
      <c r="T25" s="39">
        <f t="shared" si="3"/>
        <v>1431916753</v>
      </c>
      <c r="U25" s="39">
        <f t="shared" si="3"/>
        <v>1477709711</v>
      </c>
      <c r="V25" s="39">
        <f t="shared" si="3"/>
        <v>1521887866</v>
      </c>
    </row>
    <row r="26" spans="1:22" s="37" customFormat="1" ht="15" customHeight="1">
      <c r="A26" s="35" t="s">
        <v>122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5"/>
      <c r="T26" s="36"/>
      <c r="U26" s="36"/>
      <c r="V26" s="36"/>
    </row>
    <row r="27" spans="1:22" ht="15" customHeight="1">
      <c r="A27" s="28" t="s">
        <v>57</v>
      </c>
      <c r="B27" s="29">
        <f>Input_BS!B18</f>
        <v>0</v>
      </c>
      <c r="C27" s="29">
        <f>Input_BS!C18</f>
        <v>0</v>
      </c>
      <c r="D27" s="29">
        <f>Input_BS!D18</f>
        <v>0</v>
      </c>
      <c r="E27" s="29">
        <f>Input_BS!E18</f>
        <v>0</v>
      </c>
      <c r="F27" s="29">
        <f>Input_BS!F18</f>
        <v>0</v>
      </c>
      <c r="G27" s="29">
        <f>Input_BS!G18</f>
        <v>0</v>
      </c>
      <c r="H27" s="29">
        <f>Input_BS!H18</f>
        <v>0</v>
      </c>
      <c r="I27" s="29">
        <f>Input_BS!I18</f>
        <v>0</v>
      </c>
      <c r="J27" s="29">
        <f>Input_BS!J18</f>
        <v>0</v>
      </c>
      <c r="K27" s="29">
        <f>Input_BS!K18</f>
        <v>0</v>
      </c>
      <c r="L27" s="29">
        <f>Input_BS!L18</f>
        <v>0</v>
      </c>
      <c r="M27" s="29">
        <f>Input_BS!M18</f>
        <v>0</v>
      </c>
      <c r="N27" s="29">
        <f>Input_BS!N18</f>
        <v>0</v>
      </c>
      <c r="O27" s="29">
        <f>Input_BS!O18</f>
        <v>0</v>
      </c>
      <c r="P27" s="29">
        <f>Input_BS!P18</f>
        <v>0</v>
      </c>
      <c r="Q27" s="29">
        <f>Input_BS!Q18</f>
        <v>0</v>
      </c>
      <c r="R27" s="29">
        <f>Input_BS!R18</f>
        <v>0</v>
      </c>
      <c r="S27" s="28">
        <f>Input_BS!S18</f>
        <v>0</v>
      </c>
      <c r="T27" s="29">
        <f>Input_BS!T18</f>
        <v>0</v>
      </c>
      <c r="U27" s="29">
        <f>Input_BS!U18</f>
        <v>0</v>
      </c>
      <c r="V27" s="29">
        <f>Input_BS!V18</f>
        <v>0</v>
      </c>
    </row>
    <row r="28" spans="1:22" ht="15" customHeight="1">
      <c r="A28" s="30" t="s">
        <v>58</v>
      </c>
      <c r="B28" s="31">
        <f>Input_BS!B19</f>
        <v>0</v>
      </c>
      <c r="C28" s="31">
        <f>Input_BS!C19</f>
        <v>0</v>
      </c>
      <c r="D28" s="31">
        <f>Input_BS!D19</f>
        <v>0</v>
      </c>
      <c r="E28" s="31">
        <f>Input_BS!E19</f>
        <v>0</v>
      </c>
      <c r="F28" s="31">
        <f>Input_BS!F19</f>
        <v>0</v>
      </c>
      <c r="G28" s="31">
        <f>Input_BS!G19</f>
        <v>0</v>
      </c>
      <c r="H28" s="31">
        <f>Input_BS!H19</f>
        <v>0</v>
      </c>
      <c r="I28" s="31">
        <f>Input_BS!I19</f>
        <v>0</v>
      </c>
      <c r="J28" s="31">
        <f>Input_BS!J19</f>
        <v>0</v>
      </c>
      <c r="K28" s="31">
        <f>Input_BS!K19</f>
        <v>0</v>
      </c>
      <c r="L28" s="31">
        <f>Input_BS!L19</f>
        <v>0</v>
      </c>
      <c r="M28" s="31">
        <f>Input_BS!M19</f>
        <v>0</v>
      </c>
      <c r="N28" s="31">
        <f>Input_BS!N19</f>
        <v>0</v>
      </c>
      <c r="O28" s="38">
        <f>Input_BS!O19</f>
        <v>0</v>
      </c>
      <c r="P28" s="31">
        <f>Input_BS!P19</f>
        <v>0</v>
      </c>
      <c r="Q28" s="31">
        <f>Input_BS!Q19</f>
        <v>0</v>
      </c>
      <c r="R28" s="31">
        <f>Input_BS!R19</f>
        <v>0</v>
      </c>
      <c r="S28" s="30">
        <f>Input_BS!S19</f>
        <v>0</v>
      </c>
      <c r="T28" s="31">
        <f>Input_BS!T19</f>
        <v>0</v>
      </c>
      <c r="U28" s="31">
        <f>Input_BS!U19</f>
        <v>0</v>
      </c>
      <c r="V28" s="31">
        <f>Input_BS!V19</f>
        <v>0</v>
      </c>
    </row>
    <row r="29" spans="1:22" ht="15" customHeight="1">
      <c r="A29" s="28" t="s">
        <v>59</v>
      </c>
      <c r="B29" s="29">
        <f>Input_BS!B20</f>
        <v>0</v>
      </c>
      <c r="C29" s="29">
        <f>Input_BS!C20</f>
        <v>0</v>
      </c>
      <c r="D29" s="29">
        <f>Input_BS!D20</f>
        <v>0</v>
      </c>
      <c r="E29" s="29">
        <f>Input_BS!E20</f>
        <v>0</v>
      </c>
      <c r="F29" s="29">
        <f>Input_BS!F20</f>
        <v>0</v>
      </c>
      <c r="G29" s="29">
        <f>Input_BS!G20</f>
        <v>0</v>
      </c>
      <c r="H29" s="29">
        <f>Input_BS!H20</f>
        <v>0</v>
      </c>
      <c r="I29" s="29">
        <f>Input_BS!I20</f>
        <v>0</v>
      </c>
      <c r="J29" s="29">
        <f>Input_BS!J20</f>
        <v>0</v>
      </c>
      <c r="K29" s="29">
        <f>Input_BS!K20</f>
        <v>0</v>
      </c>
      <c r="L29" s="29">
        <f>Input_BS!L20</f>
        <v>0</v>
      </c>
      <c r="M29" s="29">
        <f>Input_BS!M20</f>
        <v>0</v>
      </c>
      <c r="N29" s="29">
        <f>Input_BS!N20</f>
        <v>0</v>
      </c>
      <c r="O29" s="29">
        <f>Input_BS!O20</f>
        <v>0</v>
      </c>
      <c r="P29" s="29">
        <f>Input_BS!P20</f>
        <v>0</v>
      </c>
      <c r="Q29" s="29">
        <f>Input_BS!Q20</f>
        <v>0</v>
      </c>
      <c r="R29" s="29">
        <f>Input_BS!R20</f>
        <v>0</v>
      </c>
      <c r="S29" s="28">
        <f>Input_BS!S20</f>
        <v>0</v>
      </c>
      <c r="T29" s="29">
        <f>Input_BS!T20</f>
        <v>0</v>
      </c>
      <c r="U29" s="29">
        <f>Input_BS!U20</f>
        <v>0</v>
      </c>
      <c r="V29" s="29">
        <f>Input_BS!V20</f>
        <v>0</v>
      </c>
    </row>
    <row r="30" spans="1:22" ht="15" customHeight="1">
      <c r="A30" s="30" t="s">
        <v>60</v>
      </c>
      <c r="B30" s="31">
        <f>Input_BS!B21</f>
        <v>190532794</v>
      </c>
      <c r="C30" s="31">
        <f>Input_BS!C21</f>
        <v>201172347</v>
      </c>
      <c r="D30" s="31">
        <f>Input_BS!D21</f>
        <v>191323203</v>
      </c>
      <c r="E30" s="31">
        <f>Input_BS!E21</f>
        <v>179897567</v>
      </c>
      <c r="F30" s="31">
        <f>Input_BS!F21</f>
        <v>197456281</v>
      </c>
      <c r="G30" s="31">
        <f>Input_BS!G21</f>
        <v>183908773</v>
      </c>
      <c r="H30" s="31">
        <f>Input_BS!H21</f>
        <v>0</v>
      </c>
      <c r="I30" s="31">
        <f>Input_BS!I21</f>
        <v>197298878</v>
      </c>
      <c r="J30" s="31">
        <f>Input_BS!J21</f>
        <v>0</v>
      </c>
      <c r="K30" s="31">
        <f>Input_BS!K21</f>
        <v>219602956</v>
      </c>
      <c r="L30" s="31">
        <f>Input_BS!L21</f>
        <v>206204999</v>
      </c>
      <c r="M30" s="31">
        <f>Input_BS!M21</f>
        <v>172009384</v>
      </c>
      <c r="N30" s="31">
        <f>Input_BS!N21</f>
        <v>164331690</v>
      </c>
      <c r="O30" s="31">
        <f>Input_BS!O21</f>
        <v>0</v>
      </c>
      <c r="P30" s="31">
        <f>Input_BS!P21</f>
        <v>726905600</v>
      </c>
      <c r="Q30" s="31">
        <f>Input_BS!Q21</f>
        <v>109599033</v>
      </c>
      <c r="R30" s="31">
        <f>Input_BS!R21</f>
        <v>81614839</v>
      </c>
      <c r="S30" s="30">
        <f>Input_BS!S21</f>
        <v>75871915</v>
      </c>
      <c r="T30" s="31">
        <f>Input_BS!T21</f>
        <v>70354918</v>
      </c>
      <c r="U30" s="31">
        <f>Input_BS!U21</f>
        <v>158545659</v>
      </c>
      <c r="V30" s="31">
        <f>Input_BS!V21</f>
        <v>159218525</v>
      </c>
    </row>
    <row r="31" spans="1:22" ht="15" customHeight="1">
      <c r="A31" s="28" t="s">
        <v>123</v>
      </c>
      <c r="B31" s="29">
        <f t="shared" ref="B31:V31" si="4">SUM(B27:B30)</f>
        <v>190532794</v>
      </c>
      <c r="C31" s="29">
        <f t="shared" si="4"/>
        <v>201172347</v>
      </c>
      <c r="D31" s="29">
        <f t="shared" si="4"/>
        <v>191323203</v>
      </c>
      <c r="E31" s="29">
        <f t="shared" si="4"/>
        <v>179897567</v>
      </c>
      <c r="F31" s="29">
        <f t="shared" si="4"/>
        <v>197456281</v>
      </c>
      <c r="G31" s="29">
        <f t="shared" si="4"/>
        <v>183908773</v>
      </c>
      <c r="H31" s="29">
        <f t="shared" si="4"/>
        <v>0</v>
      </c>
      <c r="I31" s="29">
        <f t="shared" si="4"/>
        <v>197298878</v>
      </c>
      <c r="J31" s="29">
        <f t="shared" si="4"/>
        <v>0</v>
      </c>
      <c r="K31" s="29">
        <f t="shared" si="4"/>
        <v>219602956</v>
      </c>
      <c r="L31" s="29">
        <f t="shared" si="4"/>
        <v>206204999</v>
      </c>
      <c r="M31" s="29">
        <f t="shared" si="4"/>
        <v>172009384</v>
      </c>
      <c r="N31" s="29">
        <f t="shared" si="4"/>
        <v>164331690</v>
      </c>
      <c r="O31" s="29">
        <f t="shared" si="4"/>
        <v>0</v>
      </c>
      <c r="P31" s="29">
        <f t="shared" si="4"/>
        <v>726905600</v>
      </c>
      <c r="Q31" s="29">
        <f t="shared" si="4"/>
        <v>109599033</v>
      </c>
      <c r="R31" s="29">
        <f t="shared" si="4"/>
        <v>81614839</v>
      </c>
      <c r="S31" s="28">
        <f t="shared" si="4"/>
        <v>75871915</v>
      </c>
      <c r="T31" s="29">
        <f t="shared" si="4"/>
        <v>70354918</v>
      </c>
      <c r="U31" s="29">
        <f t="shared" si="4"/>
        <v>158545659</v>
      </c>
      <c r="V31" s="29">
        <f t="shared" si="4"/>
        <v>159218525</v>
      </c>
    </row>
    <row r="32" spans="1:22" ht="15" customHeight="1">
      <c r="A32" s="30" t="s">
        <v>124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0"/>
      <c r="T32" s="31"/>
      <c r="U32" s="31"/>
      <c r="V32" s="31"/>
    </row>
    <row r="33" spans="1:22" ht="15" customHeight="1">
      <c r="A33" s="28" t="s">
        <v>61</v>
      </c>
      <c r="B33" s="29">
        <f>Input_BS!B22</f>
        <v>893781783</v>
      </c>
      <c r="C33" s="29">
        <f>Input_BS!C22</f>
        <v>1079329424</v>
      </c>
      <c r="D33" s="29">
        <f>Input_BS!D22</f>
        <v>1143833077</v>
      </c>
      <c r="E33" s="29">
        <f>Input_BS!E22</f>
        <v>1009448556</v>
      </c>
      <c r="F33" s="29">
        <f>Input_BS!F22</f>
        <v>1018839703</v>
      </c>
      <c r="G33" s="29">
        <f>Input_BS!G22</f>
        <v>1263765727</v>
      </c>
      <c r="H33" s="29">
        <f>Input_BS!H22</f>
        <v>1269605117</v>
      </c>
      <c r="I33" s="29">
        <f>Input_BS!I22</f>
        <v>1247679118</v>
      </c>
      <c r="J33" s="29">
        <f>Input_BS!J22</f>
        <v>0</v>
      </c>
      <c r="K33" s="29">
        <f>Input_BS!K22</f>
        <v>0</v>
      </c>
      <c r="L33" s="29">
        <f>Input_BS!L22</f>
        <v>1306364225</v>
      </c>
      <c r="M33" s="29">
        <f>Input_BS!M22</f>
        <v>1363122686</v>
      </c>
      <c r="N33" s="29">
        <f>Input_BS!N22</f>
        <v>1890644554</v>
      </c>
      <c r="O33" s="29">
        <f>Input_BS!O22</f>
        <v>0</v>
      </c>
      <c r="P33" s="29">
        <f>Input_BS!P22</f>
        <v>4799281490</v>
      </c>
      <c r="Q33" s="29">
        <f>Input_BS!Q22</f>
        <v>2067397001</v>
      </c>
      <c r="R33" s="29">
        <f>Input_BS!R22</f>
        <v>2593558834</v>
      </c>
      <c r="S33" s="28">
        <f>Input_BS!S22</f>
        <v>2421472118</v>
      </c>
      <c r="T33" s="29">
        <f>Input_BS!T22</f>
        <v>1725372216</v>
      </c>
      <c r="U33" s="29">
        <f>Input_BS!U22</f>
        <v>2311514563</v>
      </c>
      <c r="V33" s="29">
        <f>Input_BS!V22</f>
        <v>2121862769</v>
      </c>
    </row>
    <row r="34" spans="1:22" ht="15" customHeight="1">
      <c r="A34" s="30" t="s">
        <v>62</v>
      </c>
      <c r="B34" s="31">
        <f>Input_BS!B23</f>
        <v>0</v>
      </c>
      <c r="C34" s="31">
        <f>Input_BS!C23</f>
        <v>0</v>
      </c>
      <c r="D34" s="31">
        <f>Input_BS!D23</f>
        <v>0</v>
      </c>
      <c r="E34" s="31">
        <f>Input_BS!E23</f>
        <v>0</v>
      </c>
      <c r="F34" s="31">
        <f>Input_BS!F23</f>
        <v>0</v>
      </c>
      <c r="G34" s="31">
        <f>Input_BS!G23</f>
        <v>0</v>
      </c>
      <c r="H34" s="31">
        <f>Input_BS!H23</f>
        <v>0</v>
      </c>
      <c r="I34" s="31">
        <f>Input_BS!I23</f>
        <v>0</v>
      </c>
      <c r="J34" s="31">
        <f>Input_BS!J23</f>
        <v>0</v>
      </c>
      <c r="K34" s="31">
        <f>Input_BS!K23</f>
        <v>0</v>
      </c>
      <c r="L34" s="31">
        <f>Input_BS!L23</f>
        <v>0</v>
      </c>
      <c r="M34" s="31">
        <f>Input_BS!M23</f>
        <v>65183311</v>
      </c>
      <c r="N34" s="31">
        <f>Input_BS!N23</f>
        <v>73000051</v>
      </c>
      <c r="O34" s="31">
        <f>Input_BS!O23</f>
        <v>74254763</v>
      </c>
      <c r="P34" s="31">
        <f>Input_BS!P23</f>
        <v>73840651</v>
      </c>
      <c r="Q34" s="31">
        <f>Input_BS!Q23</f>
        <v>72262122</v>
      </c>
      <c r="R34" s="31">
        <f>Input_BS!R23</f>
        <v>67809946</v>
      </c>
      <c r="S34" s="30">
        <f>Input_BS!S23</f>
        <v>60005084</v>
      </c>
      <c r="T34" s="31">
        <f>Input_BS!T23</f>
        <v>44203678</v>
      </c>
      <c r="U34" s="31">
        <f>Input_BS!U23</f>
        <v>30878285</v>
      </c>
      <c r="V34" s="31">
        <f>Input_BS!V23</f>
        <v>25295743</v>
      </c>
    </row>
    <row r="35" spans="1:22" ht="15" customHeight="1">
      <c r="A35" s="28" t="s">
        <v>63</v>
      </c>
      <c r="B35" s="29">
        <f>Input_BS!B24</f>
        <v>0</v>
      </c>
      <c r="C35" s="29">
        <f>Input_BS!C24</f>
        <v>0</v>
      </c>
      <c r="D35" s="29">
        <f>Input_BS!D24</f>
        <v>0</v>
      </c>
      <c r="E35" s="29">
        <f>Input_BS!E24</f>
        <v>0</v>
      </c>
      <c r="F35" s="29">
        <f>Input_BS!F24</f>
        <v>0</v>
      </c>
      <c r="G35" s="29">
        <f>Input_BS!G24</f>
        <v>0</v>
      </c>
      <c r="H35" s="29">
        <f>Input_BS!H24</f>
        <v>0</v>
      </c>
      <c r="I35" s="29">
        <f>Input_BS!I24</f>
        <v>0</v>
      </c>
      <c r="J35" s="29">
        <f>Input_BS!J24</f>
        <v>0</v>
      </c>
      <c r="K35" s="29">
        <f>Input_BS!K24</f>
        <v>0</v>
      </c>
      <c r="L35" s="29">
        <f>Input_BS!L24</f>
        <v>0</v>
      </c>
      <c r="M35" s="29">
        <f>Input_BS!M24</f>
        <v>0</v>
      </c>
      <c r="N35" s="29">
        <f>Input_BS!N24</f>
        <v>0</v>
      </c>
      <c r="O35" s="29">
        <f>Input_BS!O24</f>
        <v>0</v>
      </c>
      <c r="P35" s="29">
        <f>Input_BS!P24</f>
        <v>0</v>
      </c>
      <c r="Q35" s="29">
        <f>Input_BS!Q24</f>
        <v>0</v>
      </c>
      <c r="R35" s="29">
        <f>Input_BS!R24</f>
        <v>0</v>
      </c>
      <c r="S35" s="29">
        <f>Input_BS!S24</f>
        <v>0</v>
      </c>
      <c r="T35" s="29">
        <f>Input_BS!T24</f>
        <v>0</v>
      </c>
      <c r="U35" s="29">
        <f>Input_BS!U24</f>
        <v>0</v>
      </c>
      <c r="V35" s="29">
        <f>Input_BS!V24</f>
        <v>0</v>
      </c>
    </row>
    <row r="36" spans="1:22" ht="15" customHeight="1">
      <c r="A36" s="30" t="s">
        <v>64</v>
      </c>
      <c r="B36" s="31">
        <f>Input_BS!B25</f>
        <v>230707379</v>
      </c>
      <c r="C36" s="31">
        <f>Input_BS!C25</f>
        <v>251076605</v>
      </c>
      <c r="D36" s="31">
        <f>Input_BS!D25</f>
        <v>277948477</v>
      </c>
      <c r="E36" s="31">
        <f>Input_BS!E25</f>
        <v>362791272</v>
      </c>
      <c r="F36" s="31">
        <f>Input_BS!F25</f>
        <v>324673498</v>
      </c>
      <c r="G36" s="31">
        <f>Input_BS!G25</f>
        <v>333838339</v>
      </c>
      <c r="H36" s="31">
        <f>Input_BS!H25</f>
        <v>312942677</v>
      </c>
      <c r="I36" s="31">
        <f>Input_BS!I25</f>
        <v>229886487</v>
      </c>
      <c r="J36" s="31">
        <f>Input_BS!J25</f>
        <v>0</v>
      </c>
      <c r="K36" s="31">
        <f>Input_BS!K25</f>
        <v>198087758</v>
      </c>
      <c r="L36" s="31">
        <f>Input_BS!L25</f>
        <v>264086358</v>
      </c>
      <c r="M36" s="31">
        <f>Input_BS!M25</f>
        <v>293868195</v>
      </c>
      <c r="N36" s="31">
        <f>Input_BS!N25</f>
        <v>274067562</v>
      </c>
      <c r="O36" s="31">
        <f>Input_BS!O25</f>
        <v>362697</v>
      </c>
      <c r="P36" s="31">
        <f>Input_BS!P25</f>
        <v>512746098</v>
      </c>
      <c r="Q36" s="31">
        <f>Input_BS!Q25</f>
        <v>425306897</v>
      </c>
      <c r="R36" s="31">
        <f>Input_BS!R25</f>
        <v>552498533</v>
      </c>
      <c r="S36" s="30">
        <f>Input_BS!S25</f>
        <v>478932180</v>
      </c>
      <c r="T36" s="31">
        <f>Input_BS!T25</f>
        <v>691263775</v>
      </c>
      <c r="U36" s="31">
        <f>Input_BS!U25</f>
        <v>625755179</v>
      </c>
      <c r="V36" s="31">
        <f>Input_BS!V25</f>
        <v>711930677</v>
      </c>
    </row>
    <row r="37" spans="1:22" ht="15" customHeight="1">
      <c r="A37" s="28" t="s">
        <v>65</v>
      </c>
      <c r="B37" s="29">
        <f>Input_BS!B26</f>
        <v>0</v>
      </c>
      <c r="C37" s="29">
        <f>Input_BS!C26</f>
        <v>0</v>
      </c>
      <c r="D37" s="29">
        <f>Input_BS!D26</f>
        <v>0</v>
      </c>
      <c r="E37" s="29">
        <f>Input_BS!E26</f>
        <v>0</v>
      </c>
      <c r="F37" s="29">
        <f>Input_BS!F26</f>
        <v>0</v>
      </c>
      <c r="G37" s="29">
        <f>Input_BS!G26</f>
        <v>0</v>
      </c>
      <c r="H37" s="29">
        <f>Input_BS!H26</f>
        <v>0</v>
      </c>
      <c r="I37" s="29">
        <f>Input_BS!I26</f>
        <v>0</v>
      </c>
      <c r="J37" s="29">
        <f>Input_BS!J26</f>
        <v>0</v>
      </c>
      <c r="K37" s="29">
        <f>Input_BS!K26</f>
        <v>0</v>
      </c>
      <c r="L37" s="29">
        <f>Input_BS!L26</f>
        <v>0</v>
      </c>
      <c r="M37" s="29">
        <f>Input_BS!M26</f>
        <v>0</v>
      </c>
      <c r="N37" s="29">
        <f>Input_BS!N26</f>
        <v>0</v>
      </c>
      <c r="O37" s="29">
        <f>Input_BS!O26</f>
        <v>0</v>
      </c>
      <c r="P37" s="29">
        <f>Input_BS!P26</f>
        <v>0</v>
      </c>
      <c r="Q37" s="29">
        <f>Input_BS!Q26</f>
        <v>0</v>
      </c>
      <c r="R37" s="29">
        <f>Input_BS!R26</f>
        <v>0</v>
      </c>
      <c r="S37" s="29">
        <f>Input_BS!S26</f>
        <v>0</v>
      </c>
      <c r="T37" s="29">
        <f>Input_BS!T26</f>
        <v>0</v>
      </c>
      <c r="U37" s="29">
        <f>Input_BS!U26</f>
        <v>0</v>
      </c>
      <c r="V37" s="29">
        <f>Input_BS!V26</f>
        <v>0</v>
      </c>
    </row>
    <row r="38" spans="1:22" ht="15" customHeight="1">
      <c r="A38" s="30" t="s">
        <v>66</v>
      </c>
      <c r="B38" s="31">
        <f>Input_BS!B27</f>
        <v>0</v>
      </c>
      <c r="C38" s="31">
        <f>Input_BS!C27</f>
        <v>0</v>
      </c>
      <c r="D38" s="31">
        <f>Input_BS!D27</f>
        <v>0</v>
      </c>
      <c r="E38" s="31">
        <f>Input_BS!E27</f>
        <v>0</v>
      </c>
      <c r="F38" s="31">
        <f>Input_BS!F27</f>
        <v>0</v>
      </c>
      <c r="G38" s="31">
        <f>Input_BS!G27</f>
        <v>0</v>
      </c>
      <c r="H38" s="31">
        <f>Input_BS!H27</f>
        <v>0</v>
      </c>
      <c r="I38" s="31">
        <f>Input_BS!I27</f>
        <v>0</v>
      </c>
      <c r="J38" s="31">
        <f>Input_BS!J27</f>
        <v>0</v>
      </c>
      <c r="K38" s="31">
        <f>Input_BS!K27</f>
        <v>0</v>
      </c>
      <c r="L38" s="31">
        <f>Input_BS!L27</f>
        <v>0</v>
      </c>
      <c r="M38" s="31">
        <f>Input_BS!M27</f>
        <v>0</v>
      </c>
      <c r="N38" s="31">
        <f>Input_BS!N27</f>
        <v>0</v>
      </c>
      <c r="O38" s="31">
        <f>Input_BS!O27</f>
        <v>0</v>
      </c>
      <c r="P38" s="31">
        <f>Input_BS!P27</f>
        <v>0</v>
      </c>
      <c r="Q38" s="31">
        <f>Input_BS!Q27</f>
        <v>0</v>
      </c>
      <c r="R38" s="31">
        <f>Input_BS!R27</f>
        <v>0</v>
      </c>
      <c r="S38" s="30">
        <f>Input_BS!S27</f>
        <v>0</v>
      </c>
      <c r="T38" s="31">
        <f>Input_BS!T27</f>
        <v>0</v>
      </c>
      <c r="U38" s="31">
        <f>Input_BS!U27</f>
        <v>0</v>
      </c>
      <c r="V38" s="31">
        <f>Input_BS!V27</f>
        <v>0</v>
      </c>
    </row>
    <row r="39" spans="1:22" ht="15" customHeight="1">
      <c r="A39" s="28" t="s">
        <v>67</v>
      </c>
      <c r="B39" s="29">
        <f>Input_BS!B28</f>
        <v>0</v>
      </c>
      <c r="C39" s="29">
        <f>Input_BS!C28</f>
        <v>0</v>
      </c>
      <c r="D39" s="29">
        <f>Input_BS!D28</f>
        <v>0</v>
      </c>
      <c r="E39" s="29">
        <f>Input_BS!E28</f>
        <v>0</v>
      </c>
      <c r="F39" s="29">
        <f>Input_BS!F28</f>
        <v>0</v>
      </c>
      <c r="G39" s="29">
        <f>Input_BS!G28</f>
        <v>0</v>
      </c>
      <c r="H39" s="29">
        <f>Input_BS!H28</f>
        <v>0</v>
      </c>
      <c r="I39" s="29">
        <f>Input_BS!I28</f>
        <v>0</v>
      </c>
      <c r="J39" s="29">
        <f>Input_BS!J28</f>
        <v>0</v>
      </c>
      <c r="K39" s="29">
        <f>Input_BS!K28</f>
        <v>0</v>
      </c>
      <c r="L39" s="29">
        <f>Input_BS!L28</f>
        <v>0</v>
      </c>
      <c r="M39" s="29">
        <f>Input_BS!M28</f>
        <v>0</v>
      </c>
      <c r="N39" s="29">
        <f>Input_BS!N28</f>
        <v>0</v>
      </c>
      <c r="O39" s="29">
        <f>Input_BS!O28</f>
        <v>0</v>
      </c>
      <c r="P39" s="29">
        <f>Input_BS!P28</f>
        <v>0</v>
      </c>
      <c r="Q39" s="29">
        <f>Input_BS!Q28</f>
        <v>0</v>
      </c>
      <c r="R39" s="29">
        <f>Input_BS!R28</f>
        <v>0</v>
      </c>
      <c r="S39" s="28">
        <f>Input_BS!S28</f>
        <v>0</v>
      </c>
      <c r="T39" s="29">
        <f>Input_BS!T28</f>
        <v>0</v>
      </c>
      <c r="U39" s="29">
        <f>Input_BS!U28</f>
        <v>0</v>
      </c>
      <c r="V39" s="29">
        <f>Input_BS!V28</f>
        <v>0</v>
      </c>
    </row>
    <row r="40" spans="1:22" ht="15" customHeight="1">
      <c r="A40" s="31" t="s">
        <v>68</v>
      </c>
      <c r="B40" s="31">
        <f t="shared" ref="B40:V40" si="5">B17-B25-B31-SUM(B33:B39)</f>
        <v>243070542</v>
      </c>
      <c r="C40" s="31">
        <f t="shared" si="5"/>
        <v>131402731</v>
      </c>
      <c r="D40" s="31">
        <f t="shared" si="5"/>
        <v>148728398</v>
      </c>
      <c r="E40" s="31">
        <f t="shared" si="5"/>
        <v>150285163</v>
      </c>
      <c r="F40" s="31">
        <f t="shared" si="5"/>
        <v>205819742</v>
      </c>
      <c r="G40" s="31">
        <f t="shared" si="5"/>
        <v>213311907</v>
      </c>
      <c r="H40" s="31">
        <f t="shared" si="5"/>
        <v>-1582569183</v>
      </c>
      <c r="I40" s="31">
        <f t="shared" si="5"/>
        <v>299843026</v>
      </c>
      <c r="J40" s="31">
        <f t="shared" si="5"/>
        <v>3275861546</v>
      </c>
      <c r="K40" s="31">
        <f t="shared" si="5"/>
        <v>1667399245</v>
      </c>
      <c r="L40" s="31">
        <f t="shared" si="5"/>
        <v>444506323</v>
      </c>
      <c r="M40" s="31">
        <f t="shared" si="5"/>
        <v>414580238</v>
      </c>
      <c r="N40" s="31">
        <f t="shared" si="5"/>
        <v>518922787</v>
      </c>
      <c r="O40" s="31">
        <f t="shared" si="5"/>
        <v>2945378847</v>
      </c>
      <c r="P40" s="31">
        <f t="shared" si="5"/>
        <v>-1639644081</v>
      </c>
      <c r="Q40" s="31">
        <f t="shared" si="5"/>
        <v>428559424</v>
      </c>
      <c r="R40" s="31">
        <f t="shared" si="5"/>
        <v>-2545197086</v>
      </c>
      <c r="S40" s="31">
        <f t="shared" si="5"/>
        <v>275476540</v>
      </c>
      <c r="T40" s="31">
        <f t="shared" si="5"/>
        <v>299168580</v>
      </c>
      <c r="U40" s="31">
        <f t="shared" si="5"/>
        <v>320797920</v>
      </c>
      <c r="V40" s="31">
        <f t="shared" si="5"/>
        <v>404537295</v>
      </c>
    </row>
    <row r="41" spans="1:22" ht="15" customHeight="1">
      <c r="A41" s="31" t="s">
        <v>125</v>
      </c>
      <c r="B41" s="31">
        <f t="shared" ref="B41:V41" si="6">SUM(B33:B40)</f>
        <v>1367559704</v>
      </c>
      <c r="C41" s="31">
        <f t="shared" si="6"/>
        <v>1461808760</v>
      </c>
      <c r="D41" s="31">
        <f t="shared" si="6"/>
        <v>1570509952</v>
      </c>
      <c r="E41" s="31">
        <f t="shared" si="6"/>
        <v>1522524991</v>
      </c>
      <c r="F41" s="31">
        <f t="shared" si="6"/>
        <v>1549332943</v>
      </c>
      <c r="G41" s="31">
        <f t="shared" si="6"/>
        <v>1810915973</v>
      </c>
      <c r="H41" s="31">
        <f t="shared" si="6"/>
        <v>-21389</v>
      </c>
      <c r="I41" s="31">
        <f t="shared" si="6"/>
        <v>1777408631</v>
      </c>
      <c r="J41" s="31">
        <f t="shared" si="6"/>
        <v>3275861546</v>
      </c>
      <c r="K41" s="31">
        <f t="shared" si="6"/>
        <v>1865487003</v>
      </c>
      <c r="L41" s="31">
        <f t="shared" si="6"/>
        <v>2014956906</v>
      </c>
      <c r="M41" s="31">
        <f t="shared" si="6"/>
        <v>2136754430</v>
      </c>
      <c r="N41" s="31">
        <f t="shared" si="6"/>
        <v>2756634954</v>
      </c>
      <c r="O41" s="31">
        <f t="shared" si="6"/>
        <v>3019996307</v>
      </c>
      <c r="P41" s="31">
        <f t="shared" si="6"/>
        <v>3746224158</v>
      </c>
      <c r="Q41" s="31">
        <f t="shared" si="6"/>
        <v>2993525444</v>
      </c>
      <c r="R41" s="31">
        <f t="shared" si="6"/>
        <v>668670227</v>
      </c>
      <c r="S41" s="31">
        <f t="shared" si="6"/>
        <v>3235885922</v>
      </c>
      <c r="T41" s="31">
        <f t="shared" si="6"/>
        <v>2760008249</v>
      </c>
      <c r="U41" s="31">
        <f t="shared" si="6"/>
        <v>3288945947</v>
      </c>
      <c r="V41" s="31">
        <f t="shared" si="6"/>
        <v>3263626484</v>
      </c>
    </row>
    <row r="42" spans="1:22" ht="15" customHeight="1">
      <c r="A42" s="32" t="s">
        <v>126</v>
      </c>
      <c r="B42" s="39">
        <f t="shared" ref="B42:V42" si="7">B31+B41</f>
        <v>1558092498</v>
      </c>
      <c r="C42" s="39">
        <f t="shared" si="7"/>
        <v>1662981107</v>
      </c>
      <c r="D42" s="39">
        <f t="shared" si="7"/>
        <v>1761833155</v>
      </c>
      <c r="E42" s="39">
        <f t="shared" si="7"/>
        <v>1702422558</v>
      </c>
      <c r="F42" s="39">
        <f t="shared" si="7"/>
        <v>1746789224</v>
      </c>
      <c r="G42" s="39">
        <f t="shared" si="7"/>
        <v>1994824746</v>
      </c>
      <c r="H42" s="39">
        <f t="shared" si="7"/>
        <v>-21389</v>
      </c>
      <c r="I42" s="39">
        <f t="shared" si="7"/>
        <v>1974707509</v>
      </c>
      <c r="J42" s="39">
        <f t="shared" si="7"/>
        <v>3275861546</v>
      </c>
      <c r="K42" s="39">
        <f t="shared" si="7"/>
        <v>2085089959</v>
      </c>
      <c r="L42" s="39">
        <f t="shared" si="7"/>
        <v>2221161905</v>
      </c>
      <c r="M42" s="39">
        <f t="shared" si="7"/>
        <v>2308763814</v>
      </c>
      <c r="N42" s="39">
        <f t="shared" si="7"/>
        <v>2920966644</v>
      </c>
      <c r="O42" s="39">
        <f t="shared" si="7"/>
        <v>3019996307</v>
      </c>
      <c r="P42" s="39">
        <f t="shared" si="7"/>
        <v>4473129758</v>
      </c>
      <c r="Q42" s="39">
        <f t="shared" si="7"/>
        <v>3103124477</v>
      </c>
      <c r="R42" s="39">
        <f t="shared" si="7"/>
        <v>750285066</v>
      </c>
      <c r="S42" s="39">
        <f t="shared" si="7"/>
        <v>3311757837</v>
      </c>
      <c r="T42" s="39">
        <f t="shared" si="7"/>
        <v>2830363167</v>
      </c>
      <c r="U42" s="39">
        <f t="shared" si="7"/>
        <v>3447491606</v>
      </c>
      <c r="V42" s="39">
        <f t="shared" si="7"/>
        <v>3422845009</v>
      </c>
    </row>
    <row r="43" spans="1:22" s="37" customFormat="1" ht="15" customHeight="1">
      <c r="A43" s="35" t="s">
        <v>127</v>
      </c>
      <c r="B43" s="41">
        <f t="shared" ref="B43:V43" si="8">B25+B42</f>
        <v>2363893650</v>
      </c>
      <c r="C43" s="41">
        <f t="shared" si="8"/>
        <v>2441132144</v>
      </c>
      <c r="D43" s="41">
        <f t="shared" si="8"/>
        <v>2590986462</v>
      </c>
      <c r="E43" s="41">
        <f t="shared" si="8"/>
        <v>2561128680</v>
      </c>
      <c r="F43" s="41">
        <f t="shared" si="8"/>
        <v>2655868972</v>
      </c>
      <c r="G43" s="41">
        <f t="shared" si="8"/>
        <v>2964632120</v>
      </c>
      <c r="H43" s="41">
        <f t="shared" si="8"/>
        <v>0</v>
      </c>
      <c r="I43" s="41">
        <f t="shared" si="8"/>
        <v>3099115796</v>
      </c>
      <c r="J43" s="41">
        <f t="shared" si="8"/>
        <v>3551626234</v>
      </c>
      <c r="K43" s="41">
        <f t="shared" si="8"/>
        <v>3275779466</v>
      </c>
      <c r="L43" s="41">
        <f t="shared" si="8"/>
        <v>3492324874</v>
      </c>
      <c r="M43" s="41">
        <f t="shared" si="8"/>
        <v>3609810561</v>
      </c>
      <c r="N43" s="41">
        <f t="shared" si="8"/>
        <v>4375316187</v>
      </c>
      <c r="O43" s="41">
        <f t="shared" si="8"/>
        <v>3376201174</v>
      </c>
      <c r="P43" s="41">
        <f t="shared" si="8"/>
        <v>4473849343</v>
      </c>
      <c r="Q43" s="41">
        <f t="shared" si="8"/>
        <v>4719446585</v>
      </c>
      <c r="R43" s="41">
        <f t="shared" si="8"/>
        <v>5377199898</v>
      </c>
      <c r="S43" s="41">
        <f t="shared" si="8"/>
        <v>4642866498</v>
      </c>
      <c r="T43" s="41">
        <f t="shared" si="8"/>
        <v>4262279920</v>
      </c>
      <c r="U43" s="41">
        <f t="shared" si="8"/>
        <v>4925201317</v>
      </c>
      <c r="V43" s="41">
        <f t="shared" si="8"/>
        <v>4944732875</v>
      </c>
    </row>
    <row r="44" spans="1:22" ht="15" customHeight="1">
      <c r="A44" s="28" t="s">
        <v>128</v>
      </c>
      <c r="B44" s="29">
        <f t="shared" ref="B44:V44" si="9">B17-B43</f>
        <v>0</v>
      </c>
      <c r="C44" s="29">
        <f t="shared" si="9"/>
        <v>0</v>
      </c>
      <c r="D44" s="29">
        <f t="shared" si="9"/>
        <v>0</v>
      </c>
      <c r="E44" s="29">
        <f t="shared" si="9"/>
        <v>0</v>
      </c>
      <c r="F44" s="29">
        <f t="shared" si="9"/>
        <v>0</v>
      </c>
      <c r="G44" s="29">
        <f t="shared" si="9"/>
        <v>0</v>
      </c>
      <c r="H44" s="29">
        <f t="shared" si="9"/>
        <v>0</v>
      </c>
      <c r="I44" s="29">
        <f t="shared" si="9"/>
        <v>0</v>
      </c>
      <c r="J44" s="29">
        <f t="shared" si="9"/>
        <v>0</v>
      </c>
      <c r="K44" s="29">
        <f t="shared" si="9"/>
        <v>0</v>
      </c>
      <c r="L44" s="29">
        <f t="shared" si="9"/>
        <v>0</v>
      </c>
      <c r="M44" s="29">
        <f t="shared" si="9"/>
        <v>0</v>
      </c>
      <c r="N44" s="29">
        <f t="shared" si="9"/>
        <v>0</v>
      </c>
      <c r="O44" s="29">
        <f t="shared" si="9"/>
        <v>0</v>
      </c>
      <c r="P44" s="29">
        <f t="shared" si="9"/>
        <v>0</v>
      </c>
      <c r="Q44" s="29">
        <f t="shared" si="9"/>
        <v>0</v>
      </c>
      <c r="R44" s="29">
        <f t="shared" si="9"/>
        <v>0</v>
      </c>
      <c r="S44" s="28">
        <f t="shared" si="9"/>
        <v>0</v>
      </c>
      <c r="T44" s="29">
        <f t="shared" si="9"/>
        <v>0</v>
      </c>
      <c r="U44" s="29">
        <f t="shared" si="9"/>
        <v>0</v>
      </c>
      <c r="V44" s="29">
        <f t="shared" si="9"/>
        <v>0</v>
      </c>
    </row>
    <row r="45" spans="1:22" ht="15" customHeight="1">
      <c r="A45" s="30" t="s">
        <v>129</v>
      </c>
      <c r="B45" s="31">
        <f t="shared" ref="B45:V45" si="10">(B33+B34+B27)-B15</f>
        <v>768743379</v>
      </c>
      <c r="C45" s="31">
        <f t="shared" si="10"/>
        <v>951253992</v>
      </c>
      <c r="D45" s="31">
        <f t="shared" si="10"/>
        <v>1011062652</v>
      </c>
      <c r="E45" s="31">
        <f t="shared" si="10"/>
        <v>845506450</v>
      </c>
      <c r="F45" s="31">
        <f t="shared" si="10"/>
        <v>841173504</v>
      </c>
      <c r="G45" s="31">
        <f t="shared" si="10"/>
        <v>1058085485</v>
      </c>
      <c r="H45" s="31">
        <f t="shared" si="10"/>
        <v>1005458561</v>
      </c>
      <c r="I45" s="31">
        <f t="shared" si="10"/>
        <v>807520630</v>
      </c>
      <c r="J45" s="31">
        <f t="shared" si="10"/>
        <v>-381407058</v>
      </c>
      <c r="K45" s="31">
        <f t="shared" si="10"/>
        <v>-219936811</v>
      </c>
      <c r="L45" s="31">
        <f t="shared" si="10"/>
        <v>764265327</v>
      </c>
      <c r="M45" s="31">
        <f t="shared" si="10"/>
        <v>905788458</v>
      </c>
      <c r="N45" s="31">
        <f t="shared" si="10"/>
        <v>1684389488</v>
      </c>
      <c r="O45" s="31">
        <f t="shared" si="10"/>
        <v>-399997884</v>
      </c>
      <c r="P45" s="31">
        <f t="shared" si="10"/>
        <v>4352699005</v>
      </c>
      <c r="Q45" s="31">
        <f t="shared" si="10"/>
        <v>1544652776</v>
      </c>
      <c r="R45" s="31">
        <f t="shared" si="10"/>
        <v>2139816152</v>
      </c>
      <c r="S45" s="30">
        <f t="shared" si="10"/>
        <v>2209993442</v>
      </c>
      <c r="T45" s="31">
        <f t="shared" si="10"/>
        <v>1595219431</v>
      </c>
      <c r="U45" s="31">
        <f t="shared" si="10"/>
        <v>1723470545</v>
      </c>
      <c r="V45" s="31">
        <f t="shared" si="10"/>
        <v>1827492964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1"/>
  <sheetViews>
    <sheetView workbookViewId="0">
      <selection activeCell="B6" sqref="B6"/>
    </sheetView>
  </sheetViews>
  <sheetFormatPr defaultRowHeight="13.8"/>
  <cols>
    <col min="1" max="1" width="50.5" bestFit="1" customWidth="1"/>
    <col min="2" max="22" width="13" customWidth="1"/>
    <col min="23" max="23" width="28" customWidth="1"/>
  </cols>
  <sheetData>
    <row r="1" spans="1:23" ht="15.6">
      <c r="A1" s="27" t="s">
        <v>130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"/>
    </row>
    <row r="2" spans="1:23">
      <c r="A2" s="20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7"/>
    </row>
    <row r="3" spans="1:23" ht="23.4">
      <c r="A3" s="2" t="s">
        <v>69</v>
      </c>
      <c r="B3" s="10">
        <f>Input_CF!B2</f>
        <v>20580943</v>
      </c>
      <c r="C3" s="10">
        <f>Input_CF!C2</f>
        <v>3037028</v>
      </c>
      <c r="D3" s="10">
        <f>Input_CF!D2</f>
        <v>4694993</v>
      </c>
      <c r="E3" s="10">
        <f>Input_CF!E2</f>
        <v>31171681</v>
      </c>
      <c r="F3" s="10">
        <f>Input_CF!F2</f>
        <v>1593999</v>
      </c>
      <c r="G3" s="10">
        <f>Input_CF!G2</f>
        <v>-219712930</v>
      </c>
      <c r="H3" s="10">
        <f>Input_CF!H2</f>
        <v>217910417</v>
      </c>
      <c r="I3" s="10">
        <f>Input_CF!I2</f>
        <v>272760010</v>
      </c>
      <c r="J3" s="10">
        <f>Input_CF!J2</f>
        <v>-236840190</v>
      </c>
      <c r="K3" s="10">
        <f>Input_CF!K2</f>
        <v>128361544</v>
      </c>
      <c r="L3" s="10">
        <f>Input_CF!L2</f>
        <v>110867727</v>
      </c>
      <c r="M3" s="10">
        <f>Input_CF!M2</f>
        <v>-2389081</v>
      </c>
      <c r="N3" s="10">
        <f>Input_CF!N2</f>
        <v>-243262422</v>
      </c>
      <c r="O3" s="10">
        <f>Input_CF!O2</f>
        <v>194997530</v>
      </c>
      <c r="P3" s="10">
        <f>Input_CF!P2</f>
        <v>46170489</v>
      </c>
      <c r="Q3" s="10">
        <f>Input_CF!Q2</f>
        <v>-72696575</v>
      </c>
      <c r="R3" s="10">
        <f>Input_CF!R2</f>
        <v>-73453719</v>
      </c>
      <c r="S3" s="10">
        <f>Input_CF!S2</f>
        <v>-494066868</v>
      </c>
      <c r="T3" s="10">
        <f>Input_CF!T2</f>
        <v>969460543</v>
      </c>
      <c r="U3" s="10">
        <f>Input_CF!U2</f>
        <v>-174993354</v>
      </c>
      <c r="V3" s="10">
        <f>Input_CF!V2</f>
        <v>-299256755</v>
      </c>
      <c r="W3" s="8" t="s">
        <v>153</v>
      </c>
    </row>
    <row r="4" spans="1:23" ht="23.4">
      <c r="A4" s="2" t="s">
        <v>70</v>
      </c>
      <c r="B4" s="10">
        <f>Input_CF!B3</f>
        <v>0</v>
      </c>
      <c r="C4" s="10">
        <f>Input_CF!C3</f>
        <v>0</v>
      </c>
      <c r="D4" s="10">
        <f>Input_CF!D3</f>
        <v>0</v>
      </c>
      <c r="E4" s="10">
        <f>Input_CF!E3</f>
        <v>0</v>
      </c>
      <c r="F4" s="10">
        <f>Input_CF!F3</f>
        <v>-4731973</v>
      </c>
      <c r="G4" s="10">
        <f>Input_CF!G3</f>
        <v>5702332</v>
      </c>
      <c r="H4" s="10">
        <f>Input_CF!H3</f>
        <v>41475844</v>
      </c>
      <c r="I4" s="10">
        <f>Input_CF!I3</f>
        <v>-291785165</v>
      </c>
      <c r="J4" s="10">
        <f>Input_CF!J3</f>
        <v>0</v>
      </c>
      <c r="K4" s="10">
        <f>Input_CF!K3</f>
        <v>38193097</v>
      </c>
      <c r="L4" s="10">
        <f>Input_CF!L3</f>
        <v>247894184</v>
      </c>
      <c r="M4" s="10">
        <f>Input_CF!M3</f>
        <v>-285466725</v>
      </c>
      <c r="N4" s="10">
        <f>Input_CF!N3</f>
        <v>0</v>
      </c>
      <c r="O4" s="10">
        <f>Input_CF!O3</f>
        <v>0</v>
      </c>
      <c r="P4" s="10">
        <f>Input_CF!P3</f>
        <v>0</v>
      </c>
      <c r="Q4" s="10">
        <f>Input_CF!Q3</f>
        <v>-403186273</v>
      </c>
      <c r="R4" s="10">
        <f>Input_CF!R3</f>
        <v>0</v>
      </c>
      <c r="S4" s="10">
        <f>Input_CF!S3</f>
        <v>0</v>
      </c>
      <c r="T4" s="10">
        <f>Input_CF!T3</f>
        <v>51457743</v>
      </c>
      <c r="U4" s="10">
        <f>Input_CF!U3</f>
        <v>-11965437</v>
      </c>
      <c r="V4" s="10">
        <f>Input_CF!V3</f>
        <v>0</v>
      </c>
      <c r="W4" s="8" t="s">
        <v>153</v>
      </c>
    </row>
    <row r="5" spans="1:23" ht="23.4">
      <c r="A5" s="2" t="s">
        <v>71</v>
      </c>
      <c r="B5" s="10">
        <f>Input_CF!B4</f>
        <v>0</v>
      </c>
      <c r="C5" s="10">
        <f>Input_CF!C4</f>
        <v>0</v>
      </c>
      <c r="D5" s="10">
        <f>Input_CF!D4</f>
        <v>0</v>
      </c>
      <c r="E5" s="10">
        <f>Input_CF!E4</f>
        <v>0</v>
      </c>
      <c r="F5" s="10">
        <f>Input_CF!F4</f>
        <v>23914398</v>
      </c>
      <c r="G5" s="10">
        <f>Input_CF!G4</f>
        <v>229972310</v>
      </c>
      <c r="H5" s="10">
        <f>Input_CF!H4</f>
        <v>13086482</v>
      </c>
      <c r="I5" s="10">
        <f>Input_CF!I4</f>
        <v>-13969342</v>
      </c>
      <c r="J5" s="10">
        <f>Input_CF!J4</f>
        <v>222300809</v>
      </c>
      <c r="K5" s="10">
        <f>Input_CF!K4</f>
        <v>-303729063</v>
      </c>
      <c r="L5" s="10">
        <f>Input_CF!L4</f>
        <v>-20725804</v>
      </c>
      <c r="M5" s="10">
        <f>Input_CF!M4</f>
        <v>102154058</v>
      </c>
      <c r="N5" s="10">
        <f>Input_CF!N4</f>
        <v>0</v>
      </c>
      <c r="O5" s="10">
        <f>Input_CF!O4</f>
        <v>0</v>
      </c>
      <c r="P5" s="10">
        <f>Input_CF!P4</f>
        <v>0</v>
      </c>
      <c r="Q5" s="10">
        <f>Input_CF!Q4</f>
        <v>432355005</v>
      </c>
      <c r="R5" s="10">
        <f>Input_CF!R4</f>
        <v>0</v>
      </c>
      <c r="S5" s="10">
        <f>Input_CF!S4</f>
        <v>0</v>
      </c>
      <c r="T5" s="10">
        <f>Input_CF!T4</f>
        <v>-718428728</v>
      </c>
      <c r="U5" s="10">
        <f>Input_CF!U4</f>
        <v>648254366</v>
      </c>
      <c r="V5" s="10">
        <f>Input_CF!V4</f>
        <v>0</v>
      </c>
      <c r="W5" s="8" t="s">
        <v>153</v>
      </c>
    </row>
    <row r="6" spans="1:23">
      <c r="A6" s="2" t="s">
        <v>72</v>
      </c>
      <c r="B6" s="10">
        <f>Input_CF!B5</f>
        <v>0</v>
      </c>
      <c r="C6" s="10">
        <f>Input_CF!C5</f>
        <v>0</v>
      </c>
      <c r="D6" s="10">
        <f>Input_CF!D5</f>
        <v>0</v>
      </c>
      <c r="E6" s="10">
        <f>Input_CF!E5</f>
        <v>0</v>
      </c>
      <c r="F6" s="10">
        <f>Input_CF!F5</f>
        <v>-7052331</v>
      </c>
      <c r="G6" s="10">
        <f>Input_CF!G5</f>
        <v>12052331</v>
      </c>
      <c r="H6" s="10">
        <f>Input_CF!H5</f>
        <v>-214006429</v>
      </c>
      <c r="I6" s="10">
        <f>Input_CF!I5</f>
        <v>209006429</v>
      </c>
      <c r="J6" s="10">
        <f>Input_CF!J5</f>
        <v>-44212049</v>
      </c>
      <c r="K6" s="10">
        <f>Input_CF!K5</f>
        <v>-24295825</v>
      </c>
      <c r="L6" s="10">
        <f>Input_CF!L5</f>
        <v>-14974020</v>
      </c>
      <c r="M6" s="10">
        <f>Input_CF!M5</f>
        <v>165220389</v>
      </c>
      <c r="N6" s="10">
        <f>Input_CF!N5</f>
        <v>0</v>
      </c>
      <c r="O6" s="10">
        <f>Input_CF!O5</f>
        <v>0</v>
      </c>
      <c r="P6" s="10">
        <f>Input_CF!P5</f>
        <v>0</v>
      </c>
      <c r="Q6" s="10">
        <f>Input_CF!Q5</f>
        <v>118111054</v>
      </c>
      <c r="R6" s="10">
        <f>Input_CF!R5</f>
        <v>0</v>
      </c>
      <c r="S6" s="10">
        <f>Input_CF!S5</f>
        <v>0</v>
      </c>
      <c r="T6" s="10">
        <f>Input_CF!T5</f>
        <v>-155618855</v>
      </c>
      <c r="U6" s="10">
        <f>Input_CF!U5</f>
        <v>-16729645</v>
      </c>
      <c r="V6" s="10">
        <f>Input_CF!V5</f>
        <v>0</v>
      </c>
      <c r="W6" s="8" t="s">
        <v>154</v>
      </c>
    </row>
    <row r="7" spans="1:23">
      <c r="A7" s="2" t="s">
        <v>73</v>
      </c>
      <c r="B7" s="10">
        <f>Input_CF!B6</f>
        <v>104457461</v>
      </c>
      <c r="C7" s="10">
        <f>Input_CF!C6</f>
        <v>125038404</v>
      </c>
      <c r="D7" s="10">
        <f>Input_CF!D6</f>
        <v>128075432</v>
      </c>
      <c r="E7" s="10">
        <f>Input_CF!E6</f>
        <v>132770425</v>
      </c>
      <c r="F7" s="10">
        <f>Input_CF!F6</f>
        <v>163942106</v>
      </c>
      <c r="G7" s="10">
        <f>Input_CF!G6</f>
        <v>177666199</v>
      </c>
      <c r="H7" s="10">
        <f>Input_CF!H6</f>
        <v>205680242</v>
      </c>
      <c r="I7" s="10">
        <f>Input_CF!I6</f>
        <v>264146556</v>
      </c>
      <c r="J7" s="10">
        <f>Input_CF!J6</f>
        <v>440158488</v>
      </c>
      <c r="K7" s="10">
        <f>Input_CF!K6</f>
        <v>381407058</v>
      </c>
      <c r="L7" s="10">
        <f>Input_CF!L6</f>
        <v>219936811</v>
      </c>
      <c r="M7" s="10">
        <f>Input_CF!M6</f>
        <v>542998898</v>
      </c>
      <c r="N7" s="10">
        <f>Input_CF!N6</f>
        <v>522517539</v>
      </c>
      <c r="O7" s="10">
        <f>Input_CF!O6</f>
        <v>279255117</v>
      </c>
      <c r="P7" s="10">
        <f>Input_CF!P6</f>
        <v>474252647</v>
      </c>
      <c r="Q7" s="10">
        <f>Input_CF!Q6</f>
        <v>520423136</v>
      </c>
      <c r="R7" s="10">
        <f>Input_CF!R6</f>
        <v>595006347</v>
      </c>
      <c r="S7" s="10">
        <f>Input_CF!S6</f>
        <v>521552628</v>
      </c>
      <c r="T7" s="10">
        <f>Input_CF!T6</f>
        <v>27485760</v>
      </c>
      <c r="U7" s="10">
        <f>Input_CF!U6</f>
        <v>174356463</v>
      </c>
      <c r="V7" s="10">
        <f>Input_CF!V6</f>
        <v>618922303</v>
      </c>
      <c r="W7" s="8" t="s">
        <v>155</v>
      </c>
    </row>
    <row r="8" spans="1:23">
      <c r="A8" s="21" t="s">
        <v>156</v>
      </c>
      <c r="B8" s="22">
        <f t="shared" ref="B8:V8" si="0">SUM(B3:B6)</f>
        <v>20580943</v>
      </c>
      <c r="C8" s="22">
        <f t="shared" si="0"/>
        <v>3037028</v>
      </c>
      <c r="D8" s="22">
        <f t="shared" si="0"/>
        <v>4694993</v>
      </c>
      <c r="E8" s="22">
        <f t="shared" si="0"/>
        <v>31171681</v>
      </c>
      <c r="F8" s="22">
        <f t="shared" si="0"/>
        <v>13724093</v>
      </c>
      <c r="G8" s="22">
        <f t="shared" si="0"/>
        <v>28014043</v>
      </c>
      <c r="H8" s="22">
        <f t="shared" si="0"/>
        <v>58466314</v>
      </c>
      <c r="I8" s="22">
        <f t="shared" si="0"/>
        <v>176011932</v>
      </c>
      <c r="J8" s="22">
        <f t="shared" si="0"/>
        <v>-58751430</v>
      </c>
      <c r="K8" s="22">
        <f t="shared" si="0"/>
        <v>-161470247</v>
      </c>
      <c r="L8" s="22">
        <f t="shared" si="0"/>
        <v>323062087</v>
      </c>
      <c r="M8" s="22">
        <f t="shared" si="0"/>
        <v>-20481359</v>
      </c>
      <c r="N8" s="22">
        <f t="shared" si="0"/>
        <v>-243262422</v>
      </c>
      <c r="O8" s="22">
        <f t="shared" si="0"/>
        <v>194997530</v>
      </c>
      <c r="P8" s="22">
        <f t="shared" si="0"/>
        <v>46170489</v>
      </c>
      <c r="Q8" s="22">
        <f t="shared" si="0"/>
        <v>74583211</v>
      </c>
      <c r="R8" s="22">
        <f t="shared" si="0"/>
        <v>-73453719</v>
      </c>
      <c r="S8" s="22">
        <f t="shared" si="0"/>
        <v>-494066868</v>
      </c>
      <c r="T8" s="22">
        <f t="shared" si="0"/>
        <v>146870703</v>
      </c>
      <c r="U8" s="22">
        <f t="shared" si="0"/>
        <v>444565930</v>
      </c>
      <c r="V8" s="22">
        <f t="shared" si="0"/>
        <v>-299256755</v>
      </c>
      <c r="W8" s="9" t="s">
        <v>157</v>
      </c>
    </row>
    <row r="9" spans="1:23" ht="27.6">
      <c r="A9" s="21" t="s">
        <v>158</v>
      </c>
      <c r="B9" s="22">
        <f t="shared" ref="B9:V9" si="1">B7+B8</f>
        <v>125038404</v>
      </c>
      <c r="C9" s="22">
        <f t="shared" si="1"/>
        <v>128075432</v>
      </c>
      <c r="D9" s="22">
        <f t="shared" si="1"/>
        <v>132770425</v>
      </c>
      <c r="E9" s="22">
        <f t="shared" si="1"/>
        <v>163942106</v>
      </c>
      <c r="F9" s="22">
        <f t="shared" si="1"/>
        <v>177666199</v>
      </c>
      <c r="G9" s="22">
        <f t="shared" si="1"/>
        <v>205680242</v>
      </c>
      <c r="H9" s="22">
        <f t="shared" si="1"/>
        <v>264146556</v>
      </c>
      <c r="I9" s="22">
        <f t="shared" si="1"/>
        <v>440158488</v>
      </c>
      <c r="J9" s="22">
        <f t="shared" si="1"/>
        <v>381407058</v>
      </c>
      <c r="K9" s="22">
        <f t="shared" si="1"/>
        <v>219936811</v>
      </c>
      <c r="L9" s="22">
        <f t="shared" si="1"/>
        <v>542998898</v>
      </c>
      <c r="M9" s="22">
        <f t="shared" si="1"/>
        <v>522517539</v>
      </c>
      <c r="N9" s="22">
        <f t="shared" si="1"/>
        <v>279255117</v>
      </c>
      <c r="O9" s="22">
        <f t="shared" si="1"/>
        <v>474252647</v>
      </c>
      <c r="P9" s="22">
        <f t="shared" si="1"/>
        <v>520423136</v>
      </c>
      <c r="Q9" s="22">
        <f t="shared" si="1"/>
        <v>595006347</v>
      </c>
      <c r="R9" s="22">
        <f t="shared" si="1"/>
        <v>521552628</v>
      </c>
      <c r="S9" s="22">
        <f t="shared" si="1"/>
        <v>27485760</v>
      </c>
      <c r="T9" s="22">
        <f t="shared" si="1"/>
        <v>174356463</v>
      </c>
      <c r="U9" s="22">
        <f t="shared" si="1"/>
        <v>618922393</v>
      </c>
      <c r="V9" s="22">
        <f t="shared" si="1"/>
        <v>319665548</v>
      </c>
      <c r="W9" s="9" t="s">
        <v>159</v>
      </c>
    </row>
    <row r="10" spans="1:23" ht="27.6">
      <c r="A10" s="2" t="s">
        <v>74</v>
      </c>
      <c r="B10" s="10">
        <f>Input_CF!B7</f>
        <v>125038404</v>
      </c>
      <c r="C10" s="10">
        <f>Input_CF!C7</f>
        <v>128075432</v>
      </c>
      <c r="D10" s="10">
        <f>Input_CF!D7</f>
        <v>132770425</v>
      </c>
      <c r="E10" s="10">
        <f>Input_CF!E7</f>
        <v>163942106</v>
      </c>
      <c r="F10" s="10">
        <f>Input_CF!F7</f>
        <v>177666199</v>
      </c>
      <c r="G10" s="10">
        <f>Input_CF!G7</f>
        <v>205680242</v>
      </c>
      <c r="H10" s="10">
        <f>Input_CF!H7</f>
        <v>264146556</v>
      </c>
      <c r="I10" s="10">
        <f>Input_CF!I7</f>
        <v>440158488</v>
      </c>
      <c r="J10" s="10">
        <f>Input_CF!J7</f>
        <v>381407058</v>
      </c>
      <c r="K10" s="10">
        <f>Input_CF!K7</f>
        <v>219936811</v>
      </c>
      <c r="L10" s="10">
        <f>Input_CF!L7</f>
        <v>542998898</v>
      </c>
      <c r="M10" s="10">
        <f>Input_CF!M7</f>
        <v>522517539</v>
      </c>
      <c r="N10" s="10">
        <f>Input_CF!N7</f>
        <v>279255117</v>
      </c>
      <c r="O10" s="10">
        <f>Input_CF!O7</f>
        <v>474252647</v>
      </c>
      <c r="P10" s="10">
        <f>Input_CF!P7</f>
        <v>520423136</v>
      </c>
      <c r="Q10" s="10">
        <f>Input_CF!Q7</f>
        <v>595006347</v>
      </c>
      <c r="R10" s="10">
        <f>Input_CF!R7</f>
        <v>521552628</v>
      </c>
      <c r="S10" s="10">
        <f>Input_CF!S7</f>
        <v>27485760</v>
      </c>
      <c r="T10" s="10">
        <f>Input_CF!T7</f>
        <v>174356463</v>
      </c>
      <c r="U10" s="10">
        <f>Input_CF!U7</f>
        <v>618922393</v>
      </c>
      <c r="V10" s="10">
        <f>Input_CF!V7</f>
        <v>319665548</v>
      </c>
      <c r="W10" s="8" t="s">
        <v>160</v>
      </c>
    </row>
    <row r="11" spans="1:23" ht="23.4">
      <c r="A11" s="21" t="s">
        <v>161</v>
      </c>
      <c r="B11" s="22">
        <f t="shared" ref="B11:V11" si="2">B9-B10</f>
        <v>0</v>
      </c>
      <c r="C11" s="22">
        <f t="shared" si="2"/>
        <v>0</v>
      </c>
      <c r="D11" s="22">
        <f t="shared" si="2"/>
        <v>0</v>
      </c>
      <c r="E11" s="22">
        <f t="shared" si="2"/>
        <v>0</v>
      </c>
      <c r="F11" s="22">
        <f t="shared" si="2"/>
        <v>0</v>
      </c>
      <c r="G11" s="22">
        <f t="shared" si="2"/>
        <v>0</v>
      </c>
      <c r="H11" s="22">
        <f t="shared" si="2"/>
        <v>0</v>
      </c>
      <c r="I11" s="22">
        <f t="shared" si="2"/>
        <v>0</v>
      </c>
      <c r="J11" s="22">
        <f t="shared" si="2"/>
        <v>0</v>
      </c>
      <c r="K11" s="22">
        <f t="shared" si="2"/>
        <v>0</v>
      </c>
      <c r="L11" s="22">
        <f t="shared" si="2"/>
        <v>0</v>
      </c>
      <c r="M11" s="22">
        <f t="shared" si="2"/>
        <v>0</v>
      </c>
      <c r="N11" s="22">
        <f t="shared" si="2"/>
        <v>0</v>
      </c>
      <c r="O11" s="22">
        <f t="shared" si="2"/>
        <v>0</v>
      </c>
      <c r="P11" s="22">
        <f t="shared" si="2"/>
        <v>0</v>
      </c>
      <c r="Q11" s="22">
        <f t="shared" si="2"/>
        <v>0</v>
      </c>
      <c r="R11" s="22">
        <f t="shared" si="2"/>
        <v>0</v>
      </c>
      <c r="S11" s="22">
        <f t="shared" si="2"/>
        <v>0</v>
      </c>
      <c r="T11" s="22">
        <f t="shared" si="2"/>
        <v>0</v>
      </c>
      <c r="U11" s="22">
        <f t="shared" si="2"/>
        <v>0</v>
      </c>
      <c r="V11" s="22">
        <f t="shared" si="2"/>
        <v>0</v>
      </c>
      <c r="W11" s="9" t="s">
        <v>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C4AB-3A2E-475D-854B-3645E1D56AB5}">
  <dimension ref="A1:V45"/>
  <sheetViews>
    <sheetView tabSelected="1" workbookViewId="0">
      <pane xSplit="1" topLeftCell="E1" activePane="topRight" state="frozen"/>
      <selection pane="topRight" activeCell="Y49" sqref="Y49:AA62"/>
    </sheetView>
  </sheetViews>
  <sheetFormatPr defaultRowHeight="13.8"/>
  <cols>
    <col min="1" max="1" width="45.59765625" bestFit="1" customWidth="1"/>
    <col min="2" max="2" width="10.8984375" hidden="1" customWidth="1"/>
    <col min="3" max="4" width="12.3984375" hidden="1" customWidth="1"/>
    <col min="5" max="5" width="12.3984375" bestFit="1" customWidth="1"/>
    <col min="6" max="6" width="12.3984375" hidden="1" customWidth="1"/>
    <col min="7" max="7" width="19.8984375" hidden="1" customWidth="1"/>
    <col min="8" max="8" width="12.296875" hidden="1" customWidth="1"/>
    <col min="9" max="9" width="12.296875" bestFit="1" customWidth="1"/>
    <col min="10" max="10" width="12.09765625" hidden="1" customWidth="1"/>
    <col min="11" max="11" width="12" hidden="1" customWidth="1"/>
    <col min="12" max="12" width="12.3984375" hidden="1" customWidth="1"/>
    <col min="13" max="13" width="12.3984375" bestFit="1" customWidth="1"/>
    <col min="14" max="14" width="12.3984375" hidden="1" customWidth="1"/>
    <col min="15" max="15" width="12.09765625" hidden="1" customWidth="1"/>
    <col min="16" max="16" width="12.3984375" hidden="1" customWidth="1"/>
    <col min="17" max="17" width="12.3984375" bestFit="1" customWidth="1"/>
    <col min="18" max="20" width="12.3984375" hidden="1" customWidth="1"/>
    <col min="21" max="22" width="12.3984375" bestFit="1" customWidth="1"/>
    <col min="26" max="26" width="76.19921875" bestFit="1" customWidth="1"/>
  </cols>
  <sheetData>
    <row r="1" spans="1:22" ht="17.399999999999999">
      <c r="A1" s="59" t="s">
        <v>237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>
      <c r="A2" s="48" t="s">
        <v>238</v>
      </c>
      <c r="B2" s="56" t="str">
        <f>'Income Statement'!B1</f>
        <v>1Q21</v>
      </c>
      <c r="C2" s="56" t="str">
        <f>'Income Statement'!C1</f>
        <v>2Q21</v>
      </c>
      <c r="D2" s="56" t="str">
        <f>'Income Statement'!D1</f>
        <v>3Q21</v>
      </c>
      <c r="E2" s="56" t="str">
        <f>'Income Statement'!E1</f>
        <v>FY21</v>
      </c>
      <c r="F2" s="56" t="str">
        <f>'Income Statement'!F1</f>
        <v>1Q22</v>
      </c>
      <c r="G2" s="56" t="str">
        <f>'Income Statement'!G1</f>
        <v>2Q22</v>
      </c>
      <c r="H2" s="56" t="str">
        <f>'Income Statement'!H1</f>
        <v>3Q22</v>
      </c>
      <c r="I2" s="56" t="str">
        <f>'Income Statement'!I1</f>
        <v>FY22</v>
      </c>
      <c r="J2" s="56" t="str">
        <f>'Income Statement'!J1</f>
        <v>1Q23</v>
      </c>
      <c r="K2" s="56" t="str">
        <f>'Income Statement'!K1</f>
        <v>2Q23</v>
      </c>
      <c r="L2" s="56" t="str">
        <f>'Income Statement'!L1</f>
        <v>3Q23</v>
      </c>
      <c r="M2" s="56" t="str">
        <f>'Income Statement'!M1</f>
        <v>FY23</v>
      </c>
      <c r="N2" s="56" t="str">
        <f>'Income Statement'!N1</f>
        <v>1Q24</v>
      </c>
      <c r="O2" s="56" t="str">
        <f>'Income Statement'!O1</f>
        <v>2Q24</v>
      </c>
      <c r="P2" s="56" t="str">
        <f>'Income Statement'!P1</f>
        <v>3Q24</v>
      </c>
      <c r="Q2" s="56" t="str">
        <f>'Income Statement'!Q1</f>
        <v>FY24</v>
      </c>
      <c r="R2" s="56" t="str">
        <f>'Income Statement'!R1</f>
        <v>1Q25</v>
      </c>
      <c r="S2" s="56" t="str">
        <f>'Income Statement'!S1</f>
        <v>2Q25</v>
      </c>
      <c r="T2" s="56" t="str">
        <f>'Income Statement'!T1</f>
        <v>3Q25</v>
      </c>
      <c r="U2" s="56" t="str">
        <f>'Income Statement'!U1</f>
        <v>FY25</v>
      </c>
      <c r="V2" s="56" t="str">
        <f>'Income Statement'!V1</f>
        <v>1Q26</v>
      </c>
    </row>
    <row r="3" spans="1:22" ht="14.4">
      <c r="A3" s="49" t="s">
        <v>239</v>
      </c>
      <c r="B3">
        <v>90</v>
      </c>
      <c r="C3">
        <v>90</v>
      </c>
      <c r="D3">
        <v>90</v>
      </c>
      <c r="E3">
        <v>365</v>
      </c>
      <c r="F3">
        <v>90</v>
      </c>
      <c r="G3">
        <v>90</v>
      </c>
      <c r="H3">
        <v>90</v>
      </c>
      <c r="I3">
        <v>365</v>
      </c>
      <c r="J3">
        <v>90</v>
      </c>
      <c r="K3">
        <v>90</v>
      </c>
      <c r="L3">
        <v>90</v>
      </c>
      <c r="M3">
        <v>365</v>
      </c>
      <c r="N3">
        <v>90</v>
      </c>
      <c r="O3">
        <v>90</v>
      </c>
      <c r="P3">
        <v>90</v>
      </c>
      <c r="Q3">
        <v>365</v>
      </c>
      <c r="R3">
        <v>90</v>
      </c>
      <c r="S3">
        <v>90</v>
      </c>
      <c r="T3">
        <v>90</v>
      </c>
      <c r="U3">
        <v>365</v>
      </c>
      <c r="V3">
        <v>90</v>
      </c>
    </row>
    <row r="5" spans="1:22">
      <c r="A5" s="51" t="s">
        <v>240</v>
      </c>
    </row>
    <row r="6" spans="1:22">
      <c r="A6" t="s">
        <v>241</v>
      </c>
      <c r="B6" s="50">
        <f>IFERROR('Income Statement'!B4/'Income Statement'!B2,0)</f>
        <v>0.20509387265940682</v>
      </c>
      <c r="C6" s="50">
        <f>IFERROR('Income Statement'!C4/'Income Statement'!C2,0)</f>
        <v>0.20923079564970806</v>
      </c>
      <c r="D6" s="50">
        <f>IFERROR('Income Statement'!D4/'Income Statement'!D2,0)</f>
        <v>0.23305666284713539</v>
      </c>
      <c r="E6" s="50">
        <f>IFERROR('Income Statement'!E4/'Income Statement'!E2,0)</f>
        <v>0.22409679497154794</v>
      </c>
      <c r="F6" s="50">
        <f>IFERROR('Income Statement'!F4/'Income Statement'!F2,0)</f>
        <v>0.24018592815065118</v>
      </c>
      <c r="G6" s="50">
        <f>IFERROR('Income Statement'!G4/'Income Statement'!G2,0)</f>
        <v>0.24636000659825963</v>
      </c>
      <c r="H6" s="50">
        <f>IFERROR('Income Statement'!H4/'Income Statement'!H2,0)</f>
        <v>0.22826232847569738</v>
      </c>
      <c r="I6" s="50">
        <f>IFERROR('Income Statement'!I4/'Income Statement'!I2,0)</f>
        <v>0.24363249227030026</v>
      </c>
      <c r="J6" s="50">
        <f>IFERROR('Income Statement'!J4/'Income Statement'!J2,0)</f>
        <v>0.26022556019969345</v>
      </c>
      <c r="K6" s="50">
        <f>IFERROR('Income Statement'!K4/'Income Statement'!K2,0)</f>
        <v>0.26064514937382632</v>
      </c>
      <c r="L6" s="50">
        <f>IFERROR('Income Statement'!L4/'Income Statement'!L2,0)</f>
        <v>0.2171946952487856</v>
      </c>
      <c r="M6" s="50">
        <f>IFERROR('Income Statement'!M4/'Income Statement'!M2,0)</f>
        <v>0.21050372050789648</v>
      </c>
      <c r="N6" s="50">
        <f>IFERROR('Income Statement'!N4/'Income Statement'!N2,0)</f>
        <v>0.21653126454533253</v>
      </c>
      <c r="O6" s="50">
        <f>IFERROR('Income Statement'!O4/'Income Statement'!O2,0)</f>
        <v>0.23836031097027574</v>
      </c>
      <c r="P6" s="50">
        <f>IFERROR('Income Statement'!P4/'Income Statement'!P2,0)</f>
        <v>0.24085384858651185</v>
      </c>
      <c r="Q6" s="50">
        <f>IFERROR('Income Statement'!Q4/'Income Statement'!Q2,0)</f>
        <v>0.23167600160416368</v>
      </c>
      <c r="R6" s="50">
        <f>IFERROR('Income Statement'!R4/'Income Statement'!R2,0)</f>
        <v>0.22561437081631466</v>
      </c>
      <c r="S6" s="50">
        <f>IFERROR('Income Statement'!S4/'Income Statement'!S2,0)</f>
        <v>0.23334131972016944</v>
      </c>
      <c r="T6" s="50">
        <f>IFERROR('Income Statement'!T4/'Income Statement'!T2,0)</f>
        <v>0.2444282888535409</v>
      </c>
      <c r="U6" s="50">
        <f>IFERROR('Income Statement'!U4/'Income Statement'!U2,0)</f>
        <v>0.24206549027644692</v>
      </c>
      <c r="V6" s="50">
        <f>IFERROR('Income Statement'!V4/'Income Statement'!V2,0)</f>
        <v>0.2437467421390494</v>
      </c>
    </row>
    <row r="7" spans="1:22">
      <c r="A7" t="s">
        <v>242</v>
      </c>
      <c r="B7" s="50">
        <f>IFERROR('Income Statement'!B15/'Income Statement'!B2,0)</f>
        <v>1.4653232528483174E-2</v>
      </c>
      <c r="C7" s="50">
        <f>IFERROR('Income Statement'!C15/'Income Statement'!C2,0)</f>
        <v>-9.2940755532629812E-3</v>
      </c>
      <c r="D7" s="50">
        <f>IFERROR('Income Statement'!D15/'Income Statement'!D2,0)</f>
        <v>7.7960475772132928E-2</v>
      </c>
      <c r="E7" s="50">
        <f>IFERROR('Income Statement'!E15/'Income Statement'!E2,0)</f>
        <v>4.8459407623176902E-2</v>
      </c>
      <c r="F7" s="50">
        <f>IFERROR('Income Statement'!F15/'Income Statement'!F2,0)</f>
        <v>8.782596927253826E-2</v>
      </c>
      <c r="G7" s="50">
        <f>IFERROR('Income Statement'!G15/'Income Statement'!G2,0)</f>
        <v>8.8805184374225521E-2</v>
      </c>
      <c r="H7" s="50">
        <f>IFERROR('Income Statement'!H15/'Income Statement'!H2,0)</f>
        <v>7.4170630885887309E-2</v>
      </c>
      <c r="I7" s="50">
        <f>IFERROR('Income Statement'!I15/'Income Statement'!I2,0)</f>
        <v>8.8899037663628305E-2</v>
      </c>
      <c r="J7" s="50">
        <f>IFERROR('Income Statement'!J15/'Income Statement'!J2,0)</f>
        <v>0.13663846877738839</v>
      </c>
      <c r="K7" s="50">
        <f>IFERROR('Income Statement'!K15/'Income Statement'!K2,0)</f>
        <v>0.11893136338706711</v>
      </c>
      <c r="L7" s="50">
        <f>IFERROR('Income Statement'!L15/'Income Statement'!L2,0)</f>
        <v>0.10321853071825458</v>
      </c>
      <c r="M7" s="50">
        <f>IFERROR('Income Statement'!M15/'Income Statement'!M2,0)</f>
        <v>0.11206294885943452</v>
      </c>
      <c r="N7" s="50">
        <f>IFERROR('Income Statement'!N15/'Income Statement'!N2,0)</f>
        <v>0.10357048557281942</v>
      </c>
      <c r="O7" s="50">
        <f>IFERROR('Income Statement'!O15/'Income Statement'!O2,0)</f>
        <v>0.12191140857564724</v>
      </c>
      <c r="P7" s="50">
        <f>IFERROR('Income Statement'!P15/'Income Statement'!P2,0)</f>
        <v>0.13451481709262098</v>
      </c>
      <c r="Q7" s="50">
        <f>IFERROR('Income Statement'!Q15/'Income Statement'!Q2,0)</f>
        <v>0.11403124972666503</v>
      </c>
      <c r="R7" s="50">
        <f>IFERROR('Income Statement'!R15/'Income Statement'!R2,0)</f>
        <v>7.055524713843761E-2</v>
      </c>
      <c r="S7" s="50">
        <f>IFERROR('Income Statement'!S15/'Income Statement'!S2,0)</f>
        <v>7.9380122955433896E-2</v>
      </c>
      <c r="T7" s="50">
        <f>IFERROR('Income Statement'!T15/'Income Statement'!T2,0)</f>
        <v>9.676794749477019E-2</v>
      </c>
      <c r="U7" s="50">
        <f>IFERROR('Income Statement'!U15/'Income Statement'!U2,0)</f>
        <v>7.9237492171185808E-2</v>
      </c>
      <c r="V7" s="50">
        <f>IFERROR('Income Statement'!V15/'Income Statement'!V2,0)</f>
        <v>9.1459272912896794E-2</v>
      </c>
    </row>
    <row r="8" spans="1:22">
      <c r="A8" t="s">
        <v>243</v>
      </c>
      <c r="B8" s="50">
        <f>IFERROR('Income Statement'!B24/'Income Statement'!B2,0)</f>
        <v>-2.8642991172278787E-3</v>
      </c>
      <c r="C8" s="50">
        <f>IFERROR('Income Statement'!C24/'Income Statement'!C2,0)</f>
        <v>-4.3463141121314185E-2</v>
      </c>
      <c r="D8" s="50">
        <f>IFERROR('Income Statement'!D24/'Income Statement'!D2,0)</f>
        <v>5.4878445071415358E-2</v>
      </c>
      <c r="E8" s="50">
        <f>IFERROR('Income Statement'!E24/'Income Statement'!E2,0)</f>
        <v>2.1552008099079947E-2</v>
      </c>
      <c r="F8" s="50">
        <f>IFERROR('Income Statement'!F24/'Income Statement'!F2,0)</f>
        <v>4.4908891771169905E-2</v>
      </c>
      <c r="G8" s="50">
        <f>IFERROR('Income Statement'!G24/'Income Statement'!G2,0)</f>
        <v>5.2718525491541185E-2</v>
      </c>
      <c r="H8" s="50">
        <f>IFERROR('Income Statement'!H24/'Income Statement'!H2,0)</f>
        <v>3.9113381182576512E-2</v>
      </c>
      <c r="I8" s="50">
        <f>IFERROR('Income Statement'!I24/'Income Statement'!I2,0)</f>
        <v>5.092154260730225E-2</v>
      </c>
      <c r="J8" s="50">
        <f>IFERROR('Income Statement'!J24/'Income Statement'!J2,0)</f>
        <v>8.661991058110613E-2</v>
      </c>
      <c r="K8" s="50">
        <f>IFERROR('Income Statement'!K24/'Income Statement'!K2,0)</f>
        <v>6.4082695429294817E-2</v>
      </c>
      <c r="L8" s="50">
        <f>IFERROR('Income Statement'!L24/'Income Statement'!L2,0)</f>
        <v>5.1025254192564387E-2</v>
      </c>
      <c r="M8" s="50">
        <f>IFERROR('Income Statement'!M24/'Income Statement'!M2,0)</f>
        <v>6.0555883358842398E-2</v>
      </c>
      <c r="N8" s="50">
        <f>IFERROR('Income Statement'!N24/'Income Statement'!N2,0)</f>
        <v>6.7174166137665886E-2</v>
      </c>
      <c r="O8" s="50">
        <f>IFERROR('Income Statement'!O24/'Income Statement'!O2,0)</f>
        <v>4.2511057847664971E-2</v>
      </c>
      <c r="P8" s="50">
        <f>IFERROR('Income Statement'!P24/'Income Statement'!P2,0)</f>
        <v>6.5456680673943099E-2</v>
      </c>
      <c r="Q8" s="50">
        <f>IFERROR('Income Statement'!Q24/'Income Statement'!Q2,0)</f>
        <v>5.4322684457782239E-2</v>
      </c>
      <c r="R8" s="50">
        <f>IFERROR('Income Statement'!R24/'Income Statement'!R2,0)</f>
        <v>4.7047034024134318E-3</v>
      </c>
      <c r="S8" s="50">
        <f>IFERROR('Income Statement'!S24/'Income Statement'!S2,0)</f>
        <v>2.0324565494888422E-3</v>
      </c>
      <c r="T8" s="50">
        <f>IFERROR('Income Statement'!T24/'Income Statement'!T2,0)</f>
        <v>3.7022730755566086E-2</v>
      </c>
      <c r="U8" s="50">
        <f>IFERROR('Income Statement'!U24/'Income Statement'!U2,0)</f>
        <v>1.7173569257879516E-2</v>
      </c>
      <c r="V8" s="50">
        <f>IFERROR('Income Statement'!V24/'Income Statement'!V2,0)</f>
        <v>2.67075692100558E-2</v>
      </c>
    </row>
    <row r="9" spans="1:22">
      <c r="A9" t="s">
        <v>244</v>
      </c>
      <c r="B9" s="50">
        <f>IFERROR('Income Statement'!B24/'Balance Sheet'!B17,0)</f>
        <v>-7.8406446076793683E-4</v>
      </c>
      <c r="C9" s="50">
        <f>IFERROR('Income Statement'!C24/'Balance Sheet'!C17,0)</f>
        <v>-1.1927514891631364E-2</v>
      </c>
      <c r="D9" s="50">
        <f>IFERROR('Income Statement'!D24/'Balance Sheet'!D17,0)</f>
        <v>2.025050912828737E-2</v>
      </c>
      <c r="E9" s="50">
        <f>IFERROR('Income Statement'!E24/'Balance Sheet'!E17,0)</f>
        <v>2.8278837203915892E-2</v>
      </c>
      <c r="F9" s="50">
        <f>IFERROR('Income Statement'!F24/'Balance Sheet'!F17,0)</f>
        <v>1.8966909335917343E-2</v>
      </c>
      <c r="G9" s="50">
        <f>IFERROR('Income Statement'!G24/'Balance Sheet'!G17,0)</f>
        <v>2.0484034288881684E-2</v>
      </c>
      <c r="H9" s="50">
        <f>IFERROR('Income Statement'!H24/'Balance Sheet'!H17,0)</f>
        <v>0</v>
      </c>
      <c r="I9" s="50">
        <f>IFERROR('Income Statement'!I24/'Balance Sheet'!I17,0)</f>
        <v>8.5734829703020238E-2</v>
      </c>
      <c r="J9" s="50">
        <f>IFERROR('Income Statement'!J24/'Balance Sheet'!J17,0)</f>
        <v>4.2616083739626977E-2</v>
      </c>
      <c r="K9" s="50">
        <f>IFERROR('Income Statement'!K24/'Balance Sheet'!K17,0)</f>
        <v>3.078019263705831E-2</v>
      </c>
      <c r="L9" s="50">
        <f>IFERROR('Income Statement'!L24/'Balance Sheet'!L17,0)</f>
        <v>2.9238296173473351E-2</v>
      </c>
      <c r="M9" s="50">
        <f>IFERROR('Income Statement'!M24/'Balance Sheet'!M17,0)</f>
        <v>0.1258898724242499</v>
      </c>
      <c r="N9" s="50">
        <f>IFERROR('Income Statement'!N24/'Balance Sheet'!N17,0)</f>
        <v>3.5038106835683189E-2</v>
      </c>
      <c r="O9" s="50">
        <f>IFERROR('Income Statement'!O24/'Balance Sheet'!O17,0)</f>
        <v>2.5993594420804501E-2</v>
      </c>
      <c r="P9" s="50">
        <f>IFERROR('Income Statement'!P24/'Balance Sheet'!P17,0)</f>
        <v>3.7219563117505718E-2</v>
      </c>
      <c r="Q9" s="50">
        <f>IFERROR('Income Statement'!Q24/'Balance Sheet'!Q17,0)</f>
        <v>0.10619458277013215</v>
      </c>
      <c r="R9" s="50">
        <f>IFERROR('Income Statement'!R24/'Balance Sheet'!R17,0)</f>
        <v>1.9699330880259569E-3</v>
      </c>
      <c r="S9" s="50">
        <f>IFERROR('Income Statement'!S24/'Balance Sheet'!S17,0)</f>
        <v>8.7727161695356592E-4</v>
      </c>
      <c r="T9" s="50">
        <f>IFERROR('Income Statement'!T24/'Balance Sheet'!T17,0)</f>
        <v>2.3651213409747147E-2</v>
      </c>
      <c r="U9" s="50">
        <f>IFERROR('Income Statement'!U24/'Balance Sheet'!U17,0)</f>
        <v>3.2743195378301733E-2</v>
      </c>
      <c r="V9" s="50">
        <f>IFERROR('Income Statement'!V24/'Balance Sheet'!V17,0)</f>
        <v>1.3821901956635019E-2</v>
      </c>
    </row>
    <row r="10" spans="1:22">
      <c r="A10" t="s">
        <v>245</v>
      </c>
      <c r="B10" s="50">
        <f>IFERROR('Income Statement'!B24/'Balance Sheet'!B25,0)</f>
        <v>-2.3001270169442497E-3</v>
      </c>
      <c r="C10" s="50">
        <f>IFERROR('Income Statement'!C24/'Balance Sheet'!C25,0)</f>
        <v>-3.7417723058306485E-2</v>
      </c>
      <c r="D10" s="50">
        <f>IFERROR('Income Statement'!D24/'Balance Sheet'!D25,0)</f>
        <v>6.3279968320743854E-2</v>
      </c>
      <c r="E10" s="50">
        <f>IFERROR('Income Statement'!E24/'Balance Sheet'!E25,0)</f>
        <v>8.4342872543302999E-2</v>
      </c>
      <c r="F10" s="50">
        <f>IFERROR('Income Statement'!F24/'Balance Sheet'!F25,0)</f>
        <v>5.5411668900141424E-2</v>
      </c>
      <c r="G10" s="50">
        <f>IFERROR('Income Statement'!G24/'Balance Sheet'!G25,0)</f>
        <v>6.2618234948582679E-2</v>
      </c>
      <c r="H10" s="50">
        <f>IFERROR('Income Statement'!H24/'Balance Sheet'!H25,0)</f>
        <v>2411.6198513254476</v>
      </c>
      <c r="I10" s="50">
        <f>IFERROR('Income Statement'!I24/'Balance Sheet'!I25,0)</f>
        <v>0.2363039903493703</v>
      </c>
      <c r="J10" s="50">
        <f>IFERROR('Income Statement'!J24/'Balance Sheet'!J25,0)</f>
        <v>0.54886070474693993</v>
      </c>
      <c r="K10" s="50">
        <f>IFERROR('Income Statement'!K24/'Balance Sheet'!K25,0)</f>
        <v>8.4681289628598361E-2</v>
      </c>
      <c r="L10" s="50">
        <f>IFERROR('Income Statement'!L24/'Balance Sheet'!L25,0)</f>
        <v>8.0327724682168589E-2</v>
      </c>
      <c r="M10" s="50">
        <f>IFERROR('Income Statement'!M24/'Balance Sheet'!M25,0)</f>
        <v>0.34928690460036177</v>
      </c>
      <c r="N10" s="50">
        <f>IFERROR('Income Statement'!N24/'Balance Sheet'!N25,0)</f>
        <v>0.1054098698197205</v>
      </c>
      <c r="O10" s="50">
        <f>IFERROR('Income Statement'!O24/'Balance Sheet'!O25,0)</f>
        <v>0.24637396097117337</v>
      </c>
      <c r="P10" s="50">
        <f>IFERROR('Income Statement'!P24/'Balance Sheet'!P25,0)</f>
        <v>231.40382025750952</v>
      </c>
      <c r="Q10" s="50">
        <f>IFERROR('Income Statement'!Q24/'Balance Sheet'!Q25,0)</f>
        <v>0.3100741235422117</v>
      </c>
      <c r="R10" s="50">
        <f>IFERROR('Income Statement'!R24/'Balance Sheet'!R25,0)</f>
        <v>2.2893708625756695E-3</v>
      </c>
      <c r="S10" s="50">
        <f>IFERROR('Income Statement'!S24/'Balance Sheet'!S25,0)</f>
        <v>3.0598967006495946E-3</v>
      </c>
      <c r="T10" s="50">
        <f>IFERROR('Income Statement'!T24/'Balance Sheet'!T25,0)</f>
        <v>7.0400804927240074E-2</v>
      </c>
      <c r="U10" s="50">
        <f>IFERROR('Income Statement'!U24/'Balance Sheet'!U25,0)</f>
        <v>0.10913295608707006</v>
      </c>
      <c r="V10" s="50">
        <f>IFERROR('Income Statement'!V24/'Balance Sheet'!V25,0)</f>
        <v>4.4908442025780627E-2</v>
      </c>
    </row>
    <row r="11" spans="1:22">
      <c r="A11" t="s">
        <v>271</v>
      </c>
      <c r="B11" s="50">
        <f>IFERROR('Income Statement'!B15*(1-0.225)/('Balance Sheet'!B25+'Balance Sheet'!B27+'Balance Sheet'!B33+'Balance Sheet'!B34),0)</f>
        <v>4.323685695867498E-3</v>
      </c>
      <c r="C11" s="50">
        <f>IFERROR('Income Statement'!C15*(1-0.225)/('Balance Sheet'!C25+'Balance Sheet'!C27+'Balance Sheet'!C33+'Balance Sheet'!C34),0)</f>
        <v>-2.5977885239246131E-3</v>
      </c>
      <c r="D11" s="50">
        <f>IFERROR('Income Statement'!D15*(1-0.225)/('Balance Sheet'!D25+'Balance Sheet'!D27+'Balance Sheet'!D33+'Balance Sheet'!D34),0)</f>
        <v>2.9278672913537959E-2</v>
      </c>
      <c r="E11" s="50">
        <f>IFERROR('Income Statement'!E15*(1-0.225)/('Balance Sheet'!E25+'Balance Sheet'!E27+'Balance Sheet'!E33+'Balance Sheet'!E34),0)</f>
        <v>6.7557283377688279E-2</v>
      </c>
      <c r="F11" s="50">
        <f>IFERROR('Income Statement'!F15*(1-0.225)/('Balance Sheet'!F25+'Balance Sheet'!F27+'Balance Sheet'!F33+'Balance Sheet'!F34),0)</f>
        <v>3.9601044826016445E-2</v>
      </c>
      <c r="G11" s="50">
        <f>IFERROR('Income Statement'!G15*(1-0.225)/('Balance Sheet'!G25+'Balance Sheet'!G27+'Balance Sheet'!G33+'Balance Sheet'!G34),0)</f>
        <v>3.5494650237552265E-2</v>
      </c>
      <c r="H11" s="50">
        <f>IFERROR('Income Statement'!H15*(1-0.225)/('Balance Sheet'!H25+'Balance Sheet'!H27+'Balance Sheet'!H33+'Balance Sheet'!H34),0)</f>
        <v>5.970788189814305E-2</v>
      </c>
      <c r="I11" s="50">
        <f>IFERROR('Income Statement'!I15*(1-0.225)/('Balance Sheet'!I25+'Balance Sheet'!I27+'Balance Sheet'!I33+'Balance Sheet'!I34),0)</f>
        <v>0.15155198052240407</v>
      </c>
      <c r="J11" s="50">
        <f>IFERROR('Income Statement'!J15*(1-0.225)/('Balance Sheet'!J25+'Balance Sheet'!J27+'Balance Sheet'!J33+'Balance Sheet'!J34),0)</f>
        <v>0.67099471089641471</v>
      </c>
      <c r="K11" s="50">
        <f>IFERROR('Income Statement'!K15*(1-0.225)/('Balance Sheet'!K25+'Balance Sheet'!K27+'Balance Sheet'!K33+'Balance Sheet'!K34),0)</f>
        <v>0.12179930010922654</v>
      </c>
      <c r="L11" s="50">
        <f>IFERROR('Income Statement'!L15*(1-0.225)/('Balance Sheet'!L25+'Balance Sheet'!L27+'Balance Sheet'!L33+'Balance Sheet'!L34),0)</f>
        <v>6.2106583694883803E-2</v>
      </c>
      <c r="M11" s="50">
        <f>IFERROR('Income Statement'!M15*(1-0.225)/('Balance Sheet'!M25+'Balance Sheet'!M27+'Balance Sheet'!M33+'Balance Sheet'!M34),0)</f>
        <v>0.23879374239286677</v>
      </c>
      <c r="N11" s="50">
        <f>IFERROR('Income Statement'!N15*(1-0.225)/('Balance Sheet'!N25+'Balance Sheet'!N27+'Balance Sheet'!N33+'Balance Sheet'!N34),0)</f>
        <v>5.3593755640918082E-2</v>
      </c>
      <c r="O11" s="50">
        <f>IFERROR('Income Statement'!O15*(1-0.225)/('Balance Sheet'!O25+'Balance Sheet'!O27+'Balance Sheet'!O33+'Balance Sheet'!O34),0)</f>
        <v>0.4531128372014816</v>
      </c>
      <c r="P11" s="50">
        <f>IFERROR('Income Statement'!P15*(1-0.225)/('Balance Sheet'!P25+'Balance Sheet'!P27+'Balance Sheet'!P33+'Balance Sheet'!P34),0)</f>
        <v>5.4412546848879764E-2</v>
      </c>
      <c r="Q11" s="50">
        <f>IFERROR('Income Statement'!Q15*(1-0.225)/('Balance Sheet'!Q25+'Balance Sheet'!Q27+'Balance Sheet'!Q33+'Balance Sheet'!Q34),0)</f>
        <v>0.21707728833829204</v>
      </c>
      <c r="R11" s="50">
        <f>IFERROR('Income Statement'!R15*(1-0.225)/('Balance Sheet'!R25+'Balance Sheet'!R27+'Balance Sheet'!R33+'Balance Sheet'!R34),0)</f>
        <v>1.6892003505776857E-2</v>
      </c>
      <c r="S11" s="50">
        <f>IFERROR('Income Statement'!S15*(1-0.225)/('Balance Sheet'!S25+'Balance Sheet'!S27+'Balance Sheet'!S33+'Balance Sheet'!S34),0)</f>
        <v>3.2336487329098614E-2</v>
      </c>
      <c r="T11" s="50">
        <f>IFERROR('Income Statement'!T15*(1-0.225)/('Balance Sheet'!T25+'Balance Sheet'!T27+'Balance Sheet'!T33+'Balance Sheet'!T34),0)</f>
        <v>6.3783400554222797E-2</v>
      </c>
      <c r="U11" s="50">
        <f>IFERROR('Income Statement'!U15*(1-0.225)/('Balance Sheet'!U25+'Balance Sheet'!U27+'Balance Sheet'!U33+'Balance Sheet'!U34),0)</f>
        <v>0.1509530465200267</v>
      </c>
      <c r="V11" s="50">
        <f>IFERROR('Income Statement'!V15*(1-0.225)/('Balance Sheet'!V25+'Balance Sheet'!V27+'Balance Sheet'!V33+'Balance Sheet'!V34),0)</f>
        <v>4.9437047549361887E-2</v>
      </c>
    </row>
    <row r="13" spans="1:22">
      <c r="A13" s="51" t="s">
        <v>246</v>
      </c>
    </row>
    <row r="14" spans="1:22">
      <c r="A14" t="s">
        <v>247</v>
      </c>
      <c r="B14" s="52">
        <f>IFERROR('Balance Sheet'!B16/'Balance Sheet'!B41,0)</f>
        <v>1.1619857088155325</v>
      </c>
      <c r="C14" s="52">
        <f>IFERROR('Balance Sheet'!C16/'Balance Sheet'!C41,0)</f>
        <v>1.1290827590881314</v>
      </c>
      <c r="D14" s="52">
        <f>IFERROR('Balance Sheet'!D16/'Balance Sheet'!D41,0)</f>
        <v>1.1557636789811314</v>
      </c>
      <c r="E14" s="52">
        <f>IFERROR('Balance Sheet'!E16/'Balance Sheet'!E41,0)</f>
        <v>1.1646705088468396</v>
      </c>
      <c r="F14" s="52">
        <f>IFERROR('Balance Sheet'!F16/'Balance Sheet'!F41,0)</f>
        <v>1.2173935302426471</v>
      </c>
      <c r="G14" s="52">
        <f>IFERROR('Balance Sheet'!G16/'Balance Sheet'!G41,0)</f>
        <v>1.2215297147859439</v>
      </c>
      <c r="H14" s="52">
        <f>IFERROR('Balance Sheet'!H16/'Balance Sheet'!H41,0)</f>
        <v>0</v>
      </c>
      <c r="I14" s="52">
        <f>IFERROR('Balance Sheet'!I16/'Balance Sheet'!I41,0)</f>
        <v>1.2936189899710238</v>
      </c>
      <c r="J14" s="52">
        <f>IFERROR('Balance Sheet'!J16/'Balance Sheet'!J41,0)</f>
        <v>0.83842380040563536</v>
      </c>
      <c r="K14" s="52">
        <f>IFERROR('Balance Sheet'!K16/'Balance Sheet'!K41,0)</f>
        <v>1.3045514983949744</v>
      </c>
      <c r="L14" s="52">
        <f>IFERROR('Balance Sheet'!L16/'Balance Sheet'!L41,0)</f>
        <v>1.3209394796853289</v>
      </c>
      <c r="M14" s="52">
        <f>IFERROR('Balance Sheet'!M16/'Balance Sheet'!M41,0)</f>
        <v>1.3060273776991771</v>
      </c>
      <c r="N14" s="52">
        <f>IFERROR('Balance Sheet'!N16/'Balance Sheet'!N41,0)</f>
        <v>1.277794430085428</v>
      </c>
      <c r="O14" s="52">
        <f>IFERROR('Balance Sheet'!O16/'Balance Sheet'!O41,0)</f>
        <v>1.1179409587933644</v>
      </c>
      <c r="P14" s="52">
        <f>IFERROR('Balance Sheet'!P16/'Balance Sheet'!P41,0)</f>
        <v>0.92881792873217595</v>
      </c>
      <c r="Q14" s="52">
        <f>IFERROR('Balance Sheet'!Q16/'Balance Sheet'!Q41,0)</f>
        <v>1.2393679029641145</v>
      </c>
      <c r="R14" s="52">
        <f>IFERROR('Balance Sheet'!R16/'Balance Sheet'!R41,0)</f>
        <v>6.3836003274002504</v>
      </c>
      <c r="S14" s="52">
        <f>IFERROR('Balance Sheet'!S16/'Balance Sheet'!S41,0)</f>
        <v>1.0962381324640529</v>
      </c>
      <c r="T14" s="52">
        <f>IFERROR('Balance Sheet'!T16/'Balance Sheet'!T41,0)</f>
        <v>1.1491616237557123</v>
      </c>
      <c r="U14" s="52">
        <f>IFERROR('Balance Sheet'!U16/'Balance Sheet'!U41,0)</f>
        <v>1.1694347596403354</v>
      </c>
      <c r="V14" s="52">
        <f>IFERROR('Balance Sheet'!V16/'Balance Sheet'!V41,0)</f>
        <v>1.2277202678197165</v>
      </c>
    </row>
    <row r="15" spans="1:22">
      <c r="A15" t="s">
        <v>248</v>
      </c>
      <c r="B15" s="52">
        <f>IFERROR(('Balance Sheet'!B16-'Balance Sheet'!B11)/'Balance Sheet'!B41,0)</f>
        <v>0.90036113187494149</v>
      </c>
      <c r="C15" s="52">
        <f>IFERROR(('Balance Sheet'!C16-'Balance Sheet'!C11)/'Balance Sheet'!C41,0)</f>
        <v>0.82824077891009495</v>
      </c>
      <c r="D15" s="52">
        <f>IFERROR(('Balance Sheet'!D16-'Balance Sheet'!D11)/'Balance Sheet'!D41,0)</f>
        <v>0.8410124452366412</v>
      </c>
      <c r="E15" s="52">
        <f>IFERROR(('Balance Sheet'!E16-'Balance Sheet'!E11)/'Balance Sheet'!E41,0)</f>
        <v>1.1553075761631291</v>
      </c>
      <c r="F15" s="52">
        <f>IFERROR(('Balance Sheet'!F16-'Balance Sheet'!F11)/'Balance Sheet'!F41,0)</f>
        <v>1.2071684155753475</v>
      </c>
      <c r="G15" s="52">
        <f>IFERROR(('Balance Sheet'!G16-'Balance Sheet'!G11)/'Balance Sheet'!G41,0)</f>
        <v>0.82604063926935167</v>
      </c>
      <c r="H15" s="52">
        <f>IFERROR(('Balance Sheet'!H16-'Balance Sheet'!H11)/'Balance Sheet'!H41,0)</f>
        <v>0</v>
      </c>
      <c r="I15" s="52">
        <f>IFERROR(('Balance Sheet'!I16-'Balance Sheet'!I11)/'Balance Sheet'!I41,0)</f>
        <v>0.971753172498238</v>
      </c>
      <c r="J15" s="52">
        <f>IFERROR(('Balance Sheet'!J16-'Balance Sheet'!J11)/'Balance Sheet'!J41,0)</f>
        <v>0.60788691189697797</v>
      </c>
      <c r="K15" s="52">
        <f>IFERROR(('Balance Sheet'!K16-'Balance Sheet'!K11)/'Balance Sheet'!K41,0)</f>
        <v>0.92277990531783938</v>
      </c>
      <c r="L15" s="52">
        <f>IFERROR(('Balance Sheet'!L16-'Balance Sheet'!L11)/'Balance Sheet'!L41,0)</f>
        <v>0.97979858235241091</v>
      </c>
      <c r="M15" s="52">
        <f>IFERROR(('Balance Sheet'!M16-'Balance Sheet'!M11)/'Balance Sheet'!M41,0)</f>
        <v>0.88717643140676672</v>
      </c>
      <c r="N15" s="52">
        <f>IFERROR(('Balance Sheet'!N16-'Balance Sheet'!N11)/'Balance Sheet'!N41,0)</f>
        <v>0.86446962320568466</v>
      </c>
      <c r="O15" s="52">
        <f>IFERROR(('Balance Sheet'!O16-'Balance Sheet'!O11)/'Balance Sheet'!O41,0)</f>
        <v>-0.26433678681978601</v>
      </c>
      <c r="P15" s="52">
        <f>IFERROR(('Balance Sheet'!P16-'Balance Sheet'!P11)/'Balance Sheet'!P41,0)</f>
        <v>0.64763679819289666</v>
      </c>
      <c r="Q15" s="52">
        <f>IFERROR(('Balance Sheet'!Q16-'Balance Sheet'!Q11)/'Balance Sheet'!Q41,0)</f>
        <v>0.8274626380626815</v>
      </c>
      <c r="R15" s="52">
        <f>IFERROR(('Balance Sheet'!R16-'Balance Sheet'!R11)/'Balance Sheet'!R41,0)</f>
        <v>6.3836003274002504</v>
      </c>
      <c r="S15" s="52">
        <f>IFERROR(('Balance Sheet'!S16-'Balance Sheet'!S11)/'Balance Sheet'!S41,0)</f>
        <v>0.64343588315163103</v>
      </c>
      <c r="T15" s="52">
        <f>IFERROR(('Balance Sheet'!T16-'Balance Sheet'!T11)/'Balance Sheet'!T41,0)</f>
        <v>0.75784579584421374</v>
      </c>
      <c r="U15" s="52">
        <f>IFERROR(('Balance Sheet'!U16-'Balance Sheet'!U11)/'Balance Sheet'!U41,0)</f>
        <v>0.78918789874536055</v>
      </c>
      <c r="V15" s="52">
        <f>IFERROR(('Balance Sheet'!V16-'Balance Sheet'!V11)/'Balance Sheet'!V41,0)</f>
        <v>0.86166102425831403</v>
      </c>
    </row>
    <row r="16" spans="1:22">
      <c r="A16" t="s">
        <v>249</v>
      </c>
      <c r="B16" s="52">
        <f>IFERROR('Balance Sheet'!B15/'Balance Sheet'!B41,0)</f>
        <v>9.143176976791062E-2</v>
      </c>
      <c r="C16" s="52">
        <f>IFERROR('Balance Sheet'!C15/'Balance Sheet'!C41,0)</f>
        <v>8.7614355245757322E-2</v>
      </c>
      <c r="D16" s="52">
        <f>IFERROR('Balance Sheet'!D15/'Balance Sheet'!D41,0)</f>
        <v>8.4539690328558958E-2</v>
      </c>
      <c r="E16" s="52">
        <f>IFERROR('Balance Sheet'!E15/'Balance Sheet'!E41,0)</f>
        <v>0.10767777669929886</v>
      </c>
      <c r="F16" s="52">
        <f>IFERROR('Balance Sheet'!F15/'Balance Sheet'!F41,0)</f>
        <v>0.11467270466474552</v>
      </c>
      <c r="G16" s="52">
        <f>IFERROR('Balance Sheet'!G15/'Balance Sheet'!G41,0)</f>
        <v>0.11357801525118029</v>
      </c>
      <c r="H16" s="52">
        <f>IFERROR('Balance Sheet'!H15/'Balance Sheet'!H41,0)</f>
        <v>-12349.644957688532</v>
      </c>
      <c r="I16" s="52">
        <f>IFERROR('Balance Sheet'!I15/'Balance Sheet'!I41,0)</f>
        <v>0.24764057084180999</v>
      </c>
      <c r="J16" s="52">
        <f>IFERROR('Balance Sheet'!J15/'Balance Sheet'!J41,0)</f>
        <v>0.11642954155547817</v>
      </c>
      <c r="K16" s="52">
        <f>IFERROR('Balance Sheet'!K15/'Balance Sheet'!K41,0)</f>
        <v>0.11789779861575374</v>
      </c>
      <c r="L16" s="52">
        <f>IFERROR('Balance Sheet'!L15/'Balance Sheet'!L41,0)</f>
        <v>0.26903746496303482</v>
      </c>
      <c r="M16" s="52">
        <f>IFERROR('Balance Sheet'!M15/'Balance Sheet'!M41,0)</f>
        <v>0.24453794580409505</v>
      </c>
      <c r="N16" s="52">
        <f>IFERROR('Balance Sheet'!N15/'Balance Sheet'!N41,0)</f>
        <v>0.10130290069593306</v>
      </c>
      <c r="O16" s="52">
        <f>IFERROR('Balance Sheet'!O15/'Balance Sheet'!O41,0)</f>
        <v>0.15703749236405937</v>
      </c>
      <c r="P16" s="52">
        <f>IFERROR('Balance Sheet'!P15/'Balance Sheet'!P41,0)</f>
        <v>0.13891937963419645</v>
      </c>
      <c r="Q16" s="52">
        <f>IFERROR('Balance Sheet'!Q15/'Balance Sheet'!Q41,0)</f>
        <v>0.19876441945485598</v>
      </c>
      <c r="R16" s="52">
        <f>IFERROR('Balance Sheet'!R15/'Balance Sheet'!R41,0)</f>
        <v>0.77998482202498298</v>
      </c>
      <c r="S16" s="52">
        <f>IFERROR('Balance Sheet'!S15/'Balance Sheet'!S41,0)</f>
        <v>8.3897815480529783E-2</v>
      </c>
      <c r="T16" s="52">
        <f>IFERROR('Balance Sheet'!T15/'Balance Sheet'!T41,0)</f>
        <v>6.3172442713956542E-2</v>
      </c>
      <c r="U16" s="52">
        <f>IFERROR('Balance Sheet'!U15/'Balance Sheet'!U41,0)</f>
        <v>0.18818257063924923</v>
      </c>
      <c r="V16" s="52">
        <f>IFERROR('Balance Sheet'!V15/'Balance Sheet'!V41,0)</f>
        <v>9.7947957453822398E-2</v>
      </c>
    </row>
    <row r="17" spans="1:22">
      <c r="A17" t="s">
        <v>250</v>
      </c>
      <c r="B17" s="53">
        <f>'Balance Sheet'!B16-'Balance Sheet'!B41</f>
        <v>221525128</v>
      </c>
      <c r="C17" s="53">
        <f>'Balance Sheet'!C16-'Balance Sheet'!C41</f>
        <v>188694308</v>
      </c>
      <c r="D17" s="53">
        <f>'Balance Sheet'!D16-'Balance Sheet'!D41</f>
        <v>244628408</v>
      </c>
      <c r="E17" s="53">
        <f>'Balance Sheet'!E16-'Balance Sheet'!E41</f>
        <v>250714965</v>
      </c>
      <c r="F17" s="53">
        <f>'Balance Sheet'!F16-'Balance Sheet'!F41</f>
        <v>336814958</v>
      </c>
      <c r="G17" s="53">
        <f>'Balance Sheet'!G16-'Balance Sheet'!G41</f>
        <v>401171699</v>
      </c>
      <c r="H17" s="53">
        <f>'Balance Sheet'!H16-'Balance Sheet'!H41</f>
        <v>21389</v>
      </c>
      <c r="I17" s="53">
        <f>'Balance Sheet'!I16-'Balance Sheet'!I41</f>
        <v>521880927</v>
      </c>
      <c r="J17" s="53">
        <f>'Balance Sheet'!J16-'Balance Sheet'!J41</f>
        <v>-529301259</v>
      </c>
      <c r="K17" s="53">
        <f>'Balance Sheet'!K16-'Balance Sheet'!K41</f>
        <v>568136862</v>
      </c>
      <c r="L17" s="53">
        <f>'Balance Sheet'!L16-'Balance Sheet'!L41</f>
        <v>646679221</v>
      </c>
      <c r="M17" s="53">
        <f>'Balance Sheet'!M16-'Balance Sheet'!M41</f>
        <v>653905355</v>
      </c>
      <c r="N17" s="53">
        <f>'Balance Sheet'!N16-'Balance Sheet'!N41</f>
        <v>765777836</v>
      </c>
      <c r="O17" s="53">
        <f>'Balance Sheet'!O16-'Balance Sheet'!O41</f>
        <v>356181260</v>
      </c>
      <c r="P17" s="53">
        <f>'Balance Sheet'!P16-'Balance Sheet'!P41</f>
        <v>-266663995</v>
      </c>
      <c r="Q17" s="53">
        <f>'Balance Sheet'!Q16-'Balance Sheet'!Q41</f>
        <v>716553908</v>
      </c>
      <c r="R17" s="53">
        <f>'Balance Sheet'!R16-'Balance Sheet'!R41</f>
        <v>3599853253</v>
      </c>
      <c r="S17" s="53">
        <f>'Balance Sheet'!S16-'Balance Sheet'!S41</f>
        <v>311415618</v>
      </c>
      <c r="T17" s="53">
        <f>'Balance Sheet'!T16-'Balance Sheet'!T41</f>
        <v>411687312</v>
      </c>
      <c r="U17" s="53">
        <f>'Balance Sheet'!U16-'Balance Sheet'!U41</f>
        <v>557261766</v>
      </c>
      <c r="V17" s="53">
        <f>'Balance Sheet'!V16-'Balance Sheet'!V41</f>
        <v>743193897</v>
      </c>
    </row>
    <row r="18" spans="1:22">
      <c r="A18" t="s">
        <v>272</v>
      </c>
      <c r="B18" s="50">
        <f>IFERROR(B17/('Income Statement'!B2*(365/B3)),0)</f>
        <v>8.4413383299787662E-2</v>
      </c>
      <c r="C18" s="50">
        <f>IFERROR(C17/('Income Statement'!C2*(365/C3)),0)</f>
        <v>6.9452566328531015E-2</v>
      </c>
      <c r="D18" s="50">
        <f>IFERROR(D17/('Income Statement'!D2*(365/D3)),0)</f>
        <v>6.308952262190308E-2</v>
      </c>
      <c r="E18" s="50">
        <f>IFERROR(E17/('Income Statement'!E2*(365/E3)),0)</f>
        <v>7.460622261690833E-2</v>
      </c>
      <c r="F18" s="50">
        <f>IFERROR(F17/('Income Statement'!F2*(365/F3)),0)</f>
        <v>7.404063587397422E-2</v>
      </c>
      <c r="G18" s="50">
        <f>IFERROR(G17/('Income Statement'!G2*(365/G3)),0)</f>
        <v>8.5873049111394054E-2</v>
      </c>
      <c r="H18" s="50">
        <f>IFERROR(H17/('Income Statement'!H2*(365/H3)),0)</f>
        <v>3.999135831788212E-6</v>
      </c>
      <c r="I18" s="50">
        <f>IFERROR(I17/('Income Statement'!I2*(365/I3)),0)</f>
        <v>0.10001793496928749</v>
      </c>
      <c r="J18" s="50">
        <f>IFERROR(J17/('Income Statement'!J2*(365/J3)),0)</f>
        <v>-7.469121268074283E-2</v>
      </c>
      <c r="K18" s="50">
        <f>IFERROR(K17/('Income Statement'!K2*(365/K3)),0)</f>
        <v>8.9034309325766114E-2</v>
      </c>
      <c r="L18" s="50">
        <f>IFERROR(L17/('Income Statement'!L2*(365/L3)),0)</f>
        <v>7.9681413597485637E-2</v>
      </c>
      <c r="M18" s="50">
        <f>IFERROR(M17/('Income Statement'!M2*(365/M3)),0)</f>
        <v>8.7135681672559431E-2</v>
      </c>
      <c r="N18" s="50">
        <f>IFERROR(N17/('Income Statement'!N2*(365/N3)),0)</f>
        <v>8.2737928939308966E-2</v>
      </c>
      <c r="O18" s="50">
        <f>IFERROR(O17/('Income Statement'!O2*(365/O3)),0)</f>
        <v>4.2542985929666967E-2</v>
      </c>
      <c r="P18" s="50">
        <f>IFERROR(P17/('Income Statement'!P2*(365/P3)),0)</f>
        <v>-2.5847311589100298E-2</v>
      </c>
      <c r="Q18" s="50">
        <f>IFERROR(Q17/('Income Statement'!Q2*(365/Q3)),0)</f>
        <v>7.7667022168472891E-2</v>
      </c>
      <c r="R18" s="50">
        <f>IFERROR(R17/('Income Statement'!R2*(365/R3)),0)</f>
        <v>0.39423850122493609</v>
      </c>
      <c r="S18" s="50">
        <f>IFERROR(S17/('Income Statement'!S2*(365/S3)),0)</f>
        <v>3.8316958591059512E-2</v>
      </c>
      <c r="T18" s="50">
        <f>IFERROR(T17/('Income Statement'!T2*(365/T3)),0)</f>
        <v>3.7281225609016949E-2</v>
      </c>
      <c r="U18" s="50">
        <f>IFERROR(U17/('Income Statement'!U2*(365/U3)),0)</f>
        <v>5.9343719923762181E-2</v>
      </c>
      <c r="V18" s="50">
        <f>IFERROR(V17/('Income Statement'!V2*(365/V3)),0)</f>
        <v>7.1610300969351989E-2</v>
      </c>
    </row>
    <row r="20" spans="1:22">
      <c r="A20" s="51" t="s">
        <v>251</v>
      </c>
    </row>
    <row r="21" spans="1:22">
      <c r="A21" t="s">
        <v>252</v>
      </c>
      <c r="B21" s="54">
        <f>IFERROR('Balance Sheet'!B11/(-'Income Statement'!B3)*B3,0)</f>
        <v>62.602282131572323</v>
      </c>
      <c r="C21" s="54">
        <f>IFERROR('Balance Sheet'!C11/(-'Income Statement'!C3)*C3,0)</f>
        <v>74.713935547710847</v>
      </c>
      <c r="D21" s="54">
        <f>IFERROR('Balance Sheet'!D11/(-'Income Statement'!D3)*D3,0)</f>
        <v>60.671966528983802</v>
      </c>
      <c r="E21" s="58">
        <f>IFERROR('Balance Sheet'!E11/(-'Income Statement'!E3)*E3,0)</f>
        <v>1.9955216498668629</v>
      </c>
      <c r="F21" s="54">
        <f>IFERROR('Balance Sheet'!F11/(-'Income Statement'!F3)*F3,0)</f>
        <v>1.67292797583776</v>
      </c>
      <c r="G21" s="54">
        <f>IFERROR('Balance Sheet'!G11/(-'Income Statement'!G3)*G3,0)</f>
        <v>74.248607722268673</v>
      </c>
      <c r="H21" s="54">
        <f>IFERROR('Balance Sheet'!H11/(-'Income Statement'!H3)*H3,0)</f>
        <v>0</v>
      </c>
      <c r="I21" s="54">
        <f>IFERROR('Balance Sheet'!I11/(-'Income Statement'!I3)*I3,0)</f>
        <v>52.908883888782668</v>
      </c>
      <c r="J21" s="54">
        <f>IFERROR('Balance Sheet'!J11/(-'Income Statement'!J3)*J3,0)</f>
        <v>52.580667091660949</v>
      </c>
      <c r="K21" s="54">
        <f>IFERROR('Balance Sheet'!K11/(-'Income Statement'!K3)*K3,0)</f>
        <v>55.098554032370139</v>
      </c>
      <c r="L21" s="54">
        <f>IFERROR('Balance Sheet'!L11/(-'Income Statement'!L3)*L3,0)</f>
        <v>39.491786262141034</v>
      </c>
      <c r="M21" s="54">
        <f>IFERROR('Balance Sheet'!M11/(-'Income Statement'!M3)*M3,0)</f>
        <v>55.136352188011656</v>
      </c>
      <c r="N21" s="54">
        <f>IFERROR('Balance Sheet'!N11/(-'Income Statement'!N3)*N3,0)</f>
        <v>57.351367449320151</v>
      </c>
      <c r="O21" s="54">
        <f>IFERROR('Balance Sheet'!O11/(-'Income Statement'!O3)*O3,0)</f>
        <v>238.94718994616181</v>
      </c>
      <c r="P21" s="54">
        <f>IFERROR('Balance Sheet'!P11/(-'Income Statement'!P3)*P3,0)</f>
        <v>49.09060673592127</v>
      </c>
      <c r="Q21" s="54">
        <f>IFERROR('Balance Sheet'!Q11/(-'Income Statement'!Q3)*Q3,0)</f>
        <v>63.491640444969036</v>
      </c>
      <c r="R21" s="54">
        <f>IFERROR('Balance Sheet'!R11/(-'Income Statement'!R3)*R3,0)</f>
        <v>0</v>
      </c>
      <c r="S21" s="54">
        <f>IFERROR('Balance Sheet'!S11/(-'Income Statement'!S3)*S3,0)</f>
        <v>85.830812889096322</v>
      </c>
      <c r="T21" s="54">
        <f>IFERROR('Balance Sheet'!T11/(-'Income Statement'!T3)*T3,0)</f>
        <v>47.247373228302109</v>
      </c>
      <c r="U21" s="54">
        <f>IFERROR('Balance Sheet'!U11/(-'Income Statement'!U3)*U3,0)</f>
        <v>64.135587273028264</v>
      </c>
      <c r="V21" s="54">
        <f>IFERROR('Balance Sheet'!V11/(-'Income Statement'!V3)*V3,0)</f>
        <v>55.558536465133599</v>
      </c>
    </row>
    <row r="22" spans="1:22">
      <c r="A22" t="s">
        <v>253</v>
      </c>
      <c r="B22" s="54">
        <f>IFERROR('Balance Sheet'!B12/'Income Statement'!B2*B3,0)</f>
        <v>84.953767604089833</v>
      </c>
      <c r="C22" s="54">
        <f>IFERROR('Balance Sheet'!C12/'Income Statement'!C2*C3,0)</f>
        <v>77.504801671415109</v>
      </c>
      <c r="D22" s="54">
        <f>IFERROR('Balance Sheet'!D12/'Income Statement'!D2*D3,0)</f>
        <v>63.023454192920262</v>
      </c>
      <c r="E22" s="54">
        <f>IFERROR('Balance Sheet'!E12/'Income Statement'!E2*E3,0)</f>
        <v>69.213242123252002</v>
      </c>
      <c r="F22" s="54">
        <f>IFERROR('Balance Sheet'!F12/'Income Statement'!F2*F3,0)</f>
        <v>55.112803314403166</v>
      </c>
      <c r="G22" s="54">
        <f>IFERROR('Balance Sheet'!G12/'Income Statement'!G2*G3,0)</f>
        <v>60.937984420032798</v>
      </c>
      <c r="H22" s="54">
        <f>IFERROR('Balance Sheet'!H12/'Income Statement'!H2*H3,0)</f>
        <v>0</v>
      </c>
      <c r="I22" s="54">
        <f>IFERROR('Balance Sheet'!I12/'Income Statement'!I2*I3,0)</f>
        <v>41.387570345453717</v>
      </c>
      <c r="J22" s="54">
        <f>IFERROR('Balance Sheet'!J12/'Income Statement'!J2*J3,0)</f>
        <v>0</v>
      </c>
      <c r="K22" s="54">
        <f>IFERROR('Balance Sheet'!K12/'Income Statement'!K2*K3,0)</f>
        <v>48.46837506059714</v>
      </c>
      <c r="L22" s="54">
        <f>IFERROR('Balance Sheet'!L12/'Income Statement'!L2*L3,0)</f>
        <v>44.458965146098805</v>
      </c>
      <c r="M22" s="54">
        <f>IFERROR('Balance Sheet'!M12/'Income Statement'!M2*M3,0)</f>
        <v>45.631225846272457</v>
      </c>
      <c r="N22" s="54">
        <f>IFERROR('Balance Sheet'!N12/'Income Statement'!N2*N3,0)</f>
        <v>48.278091569353045</v>
      </c>
      <c r="O22" s="54">
        <f>IFERROR('Balance Sheet'!O12/'Income Statement'!O2*O3,0)</f>
        <v>10.098166221103059</v>
      </c>
      <c r="P22" s="54">
        <f>IFERROR('Balance Sheet'!P12/'Income Statement'!P2*P3,0)</f>
        <v>0</v>
      </c>
      <c r="Q22" s="54">
        <f>IFERROR('Balance Sheet'!Q12/'Income Statement'!Q2*Q3,0)</f>
        <v>51.723527150706389</v>
      </c>
      <c r="R22" s="54">
        <f>IFERROR('Balance Sheet'!R12/'Income Statement'!R2*R3,0)</f>
        <v>62.472765040169456</v>
      </c>
      <c r="S22" s="54">
        <f>IFERROR('Balance Sheet'!S12/'Income Statement'!S2*S3,0)</f>
        <v>60.807943877248221</v>
      </c>
      <c r="T22" s="54">
        <f>IFERROR('Balance Sheet'!T12/'Income Statement'!T2*T3,0)</f>
        <v>50.537254333785832</v>
      </c>
      <c r="U22" s="54">
        <f>IFERROR('Balance Sheet'!U12/'Income Statement'!U2*U3,0)</f>
        <v>59.334974321706284</v>
      </c>
      <c r="V22" s="54">
        <f>IFERROR('Balance Sheet'!V12/'Income Statement'!V2*V3,0)</f>
        <v>63.327480505434188</v>
      </c>
    </row>
    <row r="23" spans="1:22">
      <c r="A23" t="s">
        <v>254</v>
      </c>
      <c r="B23" s="54">
        <f>IFERROR('Balance Sheet'!B36/(-'Income Statement'!B3)*B3,0)</f>
        <v>40.36703174219106</v>
      </c>
      <c r="C23" s="54">
        <f>IFERROR('Balance Sheet'!C36/(-'Income Statement'!C3)*C3,0)</f>
        <v>42.655875712267445</v>
      </c>
      <c r="D23" s="54">
        <f>IFERROR('Balance Sheet'!D36/(-'Income Statement'!D3)*D3,0)</f>
        <v>34.114910522831572</v>
      </c>
      <c r="E23" s="54">
        <f>IFERROR('Balance Sheet'!E36/(-'Income Statement'!E3)*E3,0)</f>
        <v>50.785173826149681</v>
      </c>
      <c r="F23" s="54">
        <f>IFERROR('Balance Sheet'!F36/(-'Income Statement'!F3)*F3,0)</f>
        <v>34.285551651513593</v>
      </c>
      <c r="G23" s="54">
        <f>IFERROR('Balance Sheet'!G36/(-'Income Statement'!G3)*G3,0)</f>
        <v>34.609213839495631</v>
      </c>
      <c r="H23" s="54">
        <f>IFERROR('Balance Sheet'!H36/(-'Income Statement'!H3)*H3,0)</f>
        <v>27.673470837162292</v>
      </c>
      <c r="I23" s="54">
        <f>IFERROR('Balance Sheet'!I36/(-'Income Statement'!I3)*I3,0)</f>
        <v>21.260814709819204</v>
      </c>
      <c r="J23" s="54">
        <f>IFERROR('Balance Sheet'!J36/(-'Income Statement'!J3)*J3,0)</f>
        <v>0</v>
      </c>
      <c r="K23" s="54">
        <f>IFERROR('Balance Sheet'!K36/(-'Income Statement'!K3)*K3,0)</f>
        <v>15.32505353935327</v>
      </c>
      <c r="L23" s="54">
        <f>IFERROR('Balance Sheet'!L36/(-'Income Statement'!L3)*L3,0)</f>
        <v>15.172361975554173</v>
      </c>
      <c r="M23" s="54">
        <f>IFERROR('Balance Sheet'!M36/(-'Income Statement'!M3)*M3,0)</f>
        <v>18.104081720578456</v>
      </c>
      <c r="N23" s="54">
        <f>IFERROR('Balance Sheet'!N36/(-'Income Statement'!N3)*N3,0)</f>
        <v>13.795285210071533</v>
      </c>
      <c r="O23" s="54">
        <f>IFERROR('Balance Sheet'!O36/(-'Income Statement'!O3)*O3,0)</f>
        <v>2.0760803744384229E-2</v>
      </c>
      <c r="P23" s="54">
        <f>IFERROR('Balance Sheet'!P36/(-'Income Statement'!P3)*P3,0)</f>
        <v>23.895759078273013</v>
      </c>
      <c r="Q23" s="54">
        <f>IFERROR('Balance Sheet'!Q36/(-'Income Statement'!Q3)*Q3,0)</f>
        <v>21.899725777450524</v>
      </c>
      <c r="R23" s="54">
        <f>IFERROR('Balance Sheet'!R36/(-'Income Statement'!R3)*R3,0)</f>
        <v>28.519436919368459</v>
      </c>
      <c r="S23" s="54">
        <f>IFERROR('Balance Sheet'!S36/(-'Income Statement'!S3)*S3,0)</f>
        <v>28.055335481379366</v>
      </c>
      <c r="T23" s="54">
        <f>IFERROR('Balance Sheet'!T36/(-'Income Statement'!T3)*T3,0)</f>
        <v>30.240131299005562</v>
      </c>
      <c r="U23" s="54">
        <f>IFERROR('Balance Sheet'!U36/(-'Income Statement'!U3)*U3,0)</f>
        <v>32.090845160093366</v>
      </c>
      <c r="V23" s="54">
        <f>IFERROR('Balance Sheet'!V36/(-'Income Statement'!V3)*V3,0)</f>
        <v>33.108284413594568</v>
      </c>
    </row>
    <row r="24" spans="1:22">
      <c r="A24" s="6" t="s">
        <v>255</v>
      </c>
      <c r="B24" s="55">
        <f>B21+B22-B23</f>
        <v>107.1890179934711</v>
      </c>
      <c r="C24" s="55">
        <f t="shared" ref="C24:V24" si="0">C21+C22-C23</f>
        <v>109.56286150685851</v>
      </c>
      <c r="D24" s="55">
        <f t="shared" si="0"/>
        <v>89.580510199072506</v>
      </c>
      <c r="E24" s="55">
        <f t="shared" si="0"/>
        <v>20.42358994696918</v>
      </c>
      <c r="F24" s="55">
        <f t="shared" si="0"/>
        <v>22.500179638727332</v>
      </c>
      <c r="G24" s="55">
        <f t="shared" si="0"/>
        <v>100.57737830280584</v>
      </c>
      <c r="H24" s="55">
        <f t="shared" si="0"/>
        <v>-27.673470837162292</v>
      </c>
      <c r="I24" s="55">
        <f t="shared" si="0"/>
        <v>73.035639524417192</v>
      </c>
      <c r="J24" s="55">
        <f t="shared" si="0"/>
        <v>52.580667091660949</v>
      </c>
      <c r="K24" s="55">
        <f t="shared" si="0"/>
        <v>88.241875553614022</v>
      </c>
      <c r="L24" s="55">
        <f t="shared" si="0"/>
        <v>68.778389432685671</v>
      </c>
      <c r="M24" s="55">
        <f t="shared" si="0"/>
        <v>82.66349631370565</v>
      </c>
      <c r="N24" s="55">
        <f t="shared" si="0"/>
        <v>91.834173808601662</v>
      </c>
      <c r="O24" s="55">
        <f t="shared" si="0"/>
        <v>249.02459536352049</v>
      </c>
      <c r="P24" s="55">
        <f t="shared" si="0"/>
        <v>25.194847657648257</v>
      </c>
      <c r="Q24" s="55">
        <f t="shared" si="0"/>
        <v>93.315441818224897</v>
      </c>
      <c r="R24" s="55">
        <f t="shared" si="0"/>
        <v>33.953328120800997</v>
      </c>
      <c r="S24" s="55">
        <f t="shared" si="0"/>
        <v>118.5834212849652</v>
      </c>
      <c r="T24" s="55">
        <f t="shared" si="0"/>
        <v>67.54449626308238</v>
      </c>
      <c r="U24" s="55">
        <f t="shared" si="0"/>
        <v>91.379716434641182</v>
      </c>
      <c r="V24" s="55">
        <f t="shared" si="0"/>
        <v>85.777732556973234</v>
      </c>
    </row>
    <row r="26" spans="1:22">
      <c r="A26" s="51" t="s">
        <v>256</v>
      </c>
    </row>
    <row r="27" spans="1:22">
      <c r="A27" t="s">
        <v>257</v>
      </c>
      <c r="B27" s="53">
        <f>'Balance Sheet'!B27+'Balance Sheet'!B33+'Balance Sheet'!B34</f>
        <v>893781783</v>
      </c>
      <c r="C27" s="53">
        <f>'Balance Sheet'!C27+'Balance Sheet'!C33+'Balance Sheet'!C34</f>
        <v>1079329424</v>
      </c>
      <c r="D27" s="53">
        <f>'Balance Sheet'!D27+'Balance Sheet'!D33+'Balance Sheet'!D34</f>
        <v>1143833077</v>
      </c>
      <c r="E27" s="53">
        <f>'Balance Sheet'!E27+'Balance Sheet'!E33+'Balance Sheet'!E34</f>
        <v>1009448556</v>
      </c>
      <c r="F27" s="53">
        <f>'Balance Sheet'!F27+'Balance Sheet'!F33+'Balance Sheet'!F34</f>
        <v>1018839703</v>
      </c>
      <c r="G27" s="53">
        <f>'Balance Sheet'!G27+'Balance Sheet'!G33+'Balance Sheet'!G34</f>
        <v>1263765727</v>
      </c>
      <c r="H27" s="53">
        <f>'Balance Sheet'!H27+'Balance Sheet'!H33+'Balance Sheet'!H34</f>
        <v>1269605117</v>
      </c>
      <c r="I27" s="53">
        <f>'Balance Sheet'!I27+'Balance Sheet'!I33+'Balance Sheet'!I34</f>
        <v>1247679118</v>
      </c>
      <c r="J27" s="53">
        <f>'Balance Sheet'!J27+'Balance Sheet'!J33+'Balance Sheet'!J34</f>
        <v>0</v>
      </c>
      <c r="K27" s="53">
        <f>'Balance Sheet'!K27+'Balance Sheet'!K33+'Balance Sheet'!K34</f>
        <v>0</v>
      </c>
      <c r="L27" s="53">
        <f>'Balance Sheet'!L27+'Balance Sheet'!L33+'Balance Sheet'!L34</f>
        <v>1306364225</v>
      </c>
      <c r="M27" s="53">
        <f>'Balance Sheet'!M27+'Balance Sheet'!M33+'Balance Sheet'!M34</f>
        <v>1428305997</v>
      </c>
      <c r="N27" s="53">
        <f>'Balance Sheet'!N27+'Balance Sheet'!N33+'Balance Sheet'!N34</f>
        <v>1963644605</v>
      </c>
      <c r="O27" s="53">
        <f>'Balance Sheet'!O27+'Balance Sheet'!O33+'Balance Sheet'!O34</f>
        <v>74254763</v>
      </c>
      <c r="P27" s="53">
        <f>'Balance Sheet'!P27+'Balance Sheet'!P33+'Balance Sheet'!P34</f>
        <v>4873122141</v>
      </c>
      <c r="Q27" s="53">
        <f>'Balance Sheet'!Q27+'Balance Sheet'!Q33+'Balance Sheet'!Q34</f>
        <v>2139659123</v>
      </c>
      <c r="R27" s="53">
        <f>'Balance Sheet'!R27+'Balance Sheet'!R33+'Balance Sheet'!R34</f>
        <v>2661368780</v>
      </c>
      <c r="S27" s="53">
        <f>'Balance Sheet'!S27+'Balance Sheet'!S33+'Balance Sheet'!S34</f>
        <v>2481477202</v>
      </c>
      <c r="T27" s="53">
        <f>'Balance Sheet'!T27+'Balance Sheet'!T33+'Balance Sheet'!T34</f>
        <v>1769575894</v>
      </c>
      <c r="U27" s="53">
        <f>'Balance Sheet'!U27+'Balance Sheet'!U33+'Balance Sheet'!U34</f>
        <v>2342392848</v>
      </c>
      <c r="V27" s="53">
        <f>'Balance Sheet'!V27+'Balance Sheet'!V33+'Balance Sheet'!V34</f>
        <v>2147158512</v>
      </c>
    </row>
    <row r="28" spans="1:22">
      <c r="A28" t="s">
        <v>258</v>
      </c>
      <c r="B28" s="53">
        <f>'Balance Sheet'!B45</f>
        <v>768743379</v>
      </c>
      <c r="C28" s="53">
        <f>'Balance Sheet'!C45</f>
        <v>951253992</v>
      </c>
      <c r="D28" s="53">
        <f>'Balance Sheet'!D45</f>
        <v>1011062652</v>
      </c>
      <c r="E28" s="53">
        <f>'Balance Sheet'!E45</f>
        <v>845506450</v>
      </c>
      <c r="F28" s="53">
        <f>'Balance Sheet'!F45</f>
        <v>841173504</v>
      </c>
      <c r="G28" s="53">
        <f>'Balance Sheet'!G45</f>
        <v>1058085485</v>
      </c>
      <c r="H28" s="53">
        <f>'Balance Sheet'!H45</f>
        <v>1005458561</v>
      </c>
      <c r="I28" s="53">
        <f>'Balance Sheet'!I45</f>
        <v>807520630</v>
      </c>
      <c r="J28" s="53">
        <f>'Balance Sheet'!J45</f>
        <v>-381407058</v>
      </c>
      <c r="K28" s="53">
        <f>'Balance Sheet'!K45</f>
        <v>-219936811</v>
      </c>
      <c r="L28" s="53">
        <f>'Balance Sheet'!L45</f>
        <v>764265327</v>
      </c>
      <c r="M28" s="53">
        <f>'Balance Sheet'!M45</f>
        <v>905788458</v>
      </c>
      <c r="N28" s="53">
        <f>'Balance Sheet'!N45</f>
        <v>1684389488</v>
      </c>
      <c r="O28" s="53">
        <f>'Balance Sheet'!O45</f>
        <v>-399997884</v>
      </c>
      <c r="P28" s="53">
        <f>'Balance Sheet'!P45</f>
        <v>4352699005</v>
      </c>
      <c r="Q28" s="53">
        <f>'Balance Sheet'!Q45</f>
        <v>1544652776</v>
      </c>
      <c r="R28" s="53">
        <f>'Balance Sheet'!R45</f>
        <v>2139816152</v>
      </c>
      <c r="S28" s="53">
        <f>'Balance Sheet'!S45</f>
        <v>2209993442</v>
      </c>
      <c r="T28" s="53">
        <f>'Balance Sheet'!T45</f>
        <v>1595219431</v>
      </c>
      <c r="U28" s="53">
        <f>'Balance Sheet'!U45</f>
        <v>1723470545</v>
      </c>
      <c r="V28" s="53">
        <f>'Balance Sheet'!V45</f>
        <v>1827492964</v>
      </c>
    </row>
    <row r="29" spans="1:22">
      <c r="A29" t="s">
        <v>259</v>
      </c>
      <c r="B29" s="52">
        <f>IFERROR(B27/'Balance Sheet'!B25,0)</f>
        <v>1.109184047182896</v>
      </c>
      <c r="C29" s="52">
        <f>IFERROR(C27/'Balance Sheet'!C25,0)</f>
        <v>1.3870436106608954</v>
      </c>
      <c r="D29" s="52">
        <f>IFERROR(D27/'Balance Sheet'!D25,0)</f>
        <v>1.3795194053299482</v>
      </c>
      <c r="E29" s="52">
        <f>IFERROR(E27/'Balance Sheet'!E25,0)</f>
        <v>1.1755460106059428</v>
      </c>
      <c r="F29" s="52">
        <f>IFERROR(F27/'Balance Sheet'!F25,0)</f>
        <v>1.1207374328176103</v>
      </c>
      <c r="G29" s="52">
        <f>IFERROR(G27/'Balance Sheet'!G25,0)</f>
        <v>1.303110041108019</v>
      </c>
      <c r="H29" s="52">
        <f>IFERROR(H27/'Balance Sheet'!H25,0)</f>
        <v>59357.852961802797</v>
      </c>
      <c r="I29" s="52">
        <f>IFERROR(I27/'Balance Sheet'!I25,0)</f>
        <v>1.1096317346867792</v>
      </c>
      <c r="J29" s="52">
        <f>IFERROR(J27/'Balance Sheet'!J25,0)</f>
        <v>0</v>
      </c>
      <c r="K29" s="52">
        <f>IFERROR(K27/'Balance Sheet'!K25,0)</f>
        <v>0</v>
      </c>
      <c r="L29" s="52">
        <f>IFERROR(L27/'Balance Sheet'!L25,0)</f>
        <v>1.0276921660388614</v>
      </c>
      <c r="M29" s="52">
        <f>IFERROR(M27/'Balance Sheet'!M25,0)</f>
        <v>1.097812972741709</v>
      </c>
      <c r="N29" s="52">
        <f>IFERROR(N27/'Balance Sheet'!N25,0)</f>
        <v>1.3501875215977566</v>
      </c>
      <c r="O29" s="52">
        <f>IFERROR(O27/'Balance Sheet'!O25,0)</f>
        <v>0.20846083217610836</v>
      </c>
      <c r="P29" s="52">
        <f>IFERROR(P27/'Balance Sheet'!P25,0)</f>
        <v>6772.1285754983774</v>
      </c>
      <c r="Q29" s="52">
        <f>IFERROR(Q27/'Balance Sheet'!Q25,0)</f>
        <v>1.3237826250162261</v>
      </c>
      <c r="R29" s="52">
        <f>IFERROR(R27/'Balance Sheet'!R25,0)</f>
        <v>0.57519294748929151</v>
      </c>
      <c r="S29" s="52">
        <f>IFERROR(S27/'Balance Sheet'!S25,0)</f>
        <v>1.8642183577528386</v>
      </c>
      <c r="T29" s="52">
        <f>IFERROR(T27/'Balance Sheet'!T25,0)</f>
        <v>1.235809197910823</v>
      </c>
      <c r="U29" s="52">
        <f>IFERROR(U27/'Balance Sheet'!U25,0)</f>
        <v>1.5851508794747307</v>
      </c>
      <c r="V29" s="52">
        <f>IFERROR(V27/'Balance Sheet'!V25,0)</f>
        <v>1.4108519819159921</v>
      </c>
    </row>
    <row r="30" spans="1:22">
      <c r="A30" t="s">
        <v>260</v>
      </c>
      <c r="B30" s="50">
        <f>IFERROR(B27/'Balance Sheet'!B17,0)</f>
        <v>0.37809729003671549</v>
      </c>
      <c r="C30" s="50">
        <f>IFERROR(C27/'Balance Sheet'!C17,0)</f>
        <v>0.44214297314992057</v>
      </c>
      <c r="D30" s="50">
        <f>IFERROR(D27/'Balance Sheet'!D17,0)</f>
        <v>0.4414662499305641</v>
      </c>
      <c r="E30" s="50">
        <f>IFERROR(E27/'Balance Sheet'!E17,0)</f>
        <v>0.39414206864451651</v>
      </c>
      <c r="F30" s="50">
        <f>IFERROR(F27/'Balance Sheet'!F17,0)</f>
        <v>0.38361821074055608</v>
      </c>
      <c r="G30" s="50">
        <f>IFERROR(G27/'Balance Sheet'!G17,0)</f>
        <v>0.42628079162820376</v>
      </c>
      <c r="H30" s="50">
        <f>IFERROR(H27/'Balance Sheet'!H17,0)</f>
        <v>0</v>
      </c>
      <c r="I30" s="50">
        <f>IFERROR(I27/'Balance Sheet'!I17,0)</f>
        <v>0.40259196497606442</v>
      </c>
      <c r="J30" s="50">
        <f>IFERROR(J27/'Balance Sheet'!J17,0)</f>
        <v>0</v>
      </c>
      <c r="K30" s="50">
        <f>IFERROR(K27/'Balance Sheet'!K17,0)</f>
        <v>0</v>
      </c>
      <c r="L30" s="50">
        <f>IFERROR(L27/'Balance Sheet'!L17,0)</f>
        <v>0.37406721085021255</v>
      </c>
      <c r="M30" s="50">
        <f>IFERROR(M27/'Balance Sheet'!M17,0)</f>
        <v>0.39567339417510228</v>
      </c>
      <c r="N30" s="50">
        <f>IFERROR(N27/'Balance Sheet'!N17,0)</f>
        <v>0.44880061716097414</v>
      </c>
      <c r="O30" s="50">
        <f>IFERROR(O27/'Balance Sheet'!O17,0)</f>
        <v>2.1993583667890757E-2</v>
      </c>
      <c r="P30" s="50">
        <f>IFERROR(P27/'Balance Sheet'!P17,0)</f>
        <v>1.0892459194283601</v>
      </c>
      <c r="Q30" s="50">
        <f>IFERROR(Q27/'Balance Sheet'!Q17,0)</f>
        <v>0.45337076804737264</v>
      </c>
      <c r="R30" s="50">
        <f>IFERROR(R27/'Balance Sheet'!R17,0)</f>
        <v>0.49493580868917886</v>
      </c>
      <c r="S30" s="50">
        <f>IFERROR(S27/'Balance Sheet'!S17,0)</f>
        <v>0.5344709358041938</v>
      </c>
      <c r="T30" s="50">
        <f>IFERROR(T27/'Balance Sheet'!T17,0)</f>
        <v>0.41517120583671097</v>
      </c>
      <c r="U30" s="50">
        <f>IFERROR(U27/'Balance Sheet'!U17,0)</f>
        <v>0.47559332040193231</v>
      </c>
      <c r="V30" s="50">
        <f>IFERROR(V27/'Balance Sheet'!V17,0)</f>
        <v>0.43423144713353196</v>
      </c>
    </row>
    <row r="31" spans="1:22">
      <c r="A31" t="s">
        <v>261</v>
      </c>
      <c r="B31" s="52">
        <f>IFERROR(B28/'Balance Sheet'!B25,0)</f>
        <v>0.95401126827875271</v>
      </c>
      <c r="C31" s="52">
        <f>IFERROR(C28/'Balance Sheet'!C25,0)</f>
        <v>1.2224541853306043</v>
      </c>
      <c r="D31" s="52">
        <f>IFERROR(D28/'Balance Sheet'!D25,0)</f>
        <v>1.2193916896480521</v>
      </c>
      <c r="E31" s="52">
        <f>IFERROR(E28/'Balance Sheet'!E25,0)</f>
        <v>0.98462841749717955</v>
      </c>
      <c r="F31" s="52">
        <f>IFERROR(F28/'Balance Sheet'!F25,0)</f>
        <v>0.92530221452034811</v>
      </c>
      <c r="G31" s="52">
        <f>IFERROR(G28/'Balance Sheet'!G25,0)</f>
        <v>1.0910264382048305</v>
      </c>
      <c r="H31" s="52">
        <f>IFERROR(H28/'Balance Sheet'!H25,0)</f>
        <v>47008.208004114262</v>
      </c>
      <c r="I31" s="52">
        <f>IFERROR(I28/'Balance Sheet'!I25,0)</f>
        <v>0.71817385138144219</v>
      </c>
      <c r="J31" s="52">
        <f>IFERROR(J28/'Balance Sheet'!J25,0)</f>
        <v>-1.3830888239033707</v>
      </c>
      <c r="K31" s="52">
        <f>IFERROR(K28/'Balance Sheet'!K25,0)</f>
        <v>-0.18471382313105411</v>
      </c>
      <c r="L31" s="52">
        <f>IFERROR(L28/'Balance Sheet'!L25,0)</f>
        <v>0.60123315864151794</v>
      </c>
      <c r="M31" s="52">
        <f>IFERROR(M28/'Balance Sheet'!M25,0)</f>
        <v>0.69619977920747222</v>
      </c>
      <c r="N31" s="52">
        <f>IFERROR(N28/'Balance Sheet'!N25,0)</f>
        <v>1.1581737664835914</v>
      </c>
      <c r="O31" s="52">
        <f>IFERROR(O28/'Balance Sheet'!O25,0)</f>
        <v>-1.122943342601773</v>
      </c>
      <c r="P31" s="52">
        <f>IFERROR(P28/'Balance Sheet'!P25,0)</f>
        <v>6048.901804512323</v>
      </c>
      <c r="Q31" s="52">
        <f>IFERROR(Q28/'Balance Sheet'!Q25,0)</f>
        <v>0.9556590040776699</v>
      </c>
      <c r="R31" s="52">
        <f>IFERROR(R28/'Balance Sheet'!R25,0)</f>
        <v>0.4624714803914074</v>
      </c>
      <c r="S31" s="52">
        <f>IFERROR(S28/'Balance Sheet'!S25,0)</f>
        <v>1.6602652411109209</v>
      </c>
      <c r="T31" s="52">
        <f>IFERROR(T28/'Balance Sheet'!T25,0)</f>
        <v>1.1140448127713189</v>
      </c>
      <c r="U31" s="52">
        <f>IFERROR(U28/'Balance Sheet'!U25,0)</f>
        <v>1.1663119841269014</v>
      </c>
      <c r="V31" s="52">
        <f>IFERROR(V28/'Balance Sheet'!V25,0)</f>
        <v>1.2008065803187105</v>
      </c>
    </row>
    <row r="32" spans="1:22">
      <c r="A32" t="s">
        <v>273</v>
      </c>
      <c r="B32" s="52">
        <f>IFERROR('Balance Sheet'!B17/'Balance Sheet'!B25,0)</f>
        <v>2.9335942795971581</v>
      </c>
      <c r="C32" s="52">
        <f>IFERROR('Balance Sheet'!C17/'Balance Sheet'!C25,0)</f>
        <v>3.1370929651540127</v>
      </c>
      <c r="D32" s="52">
        <f>IFERROR('Balance Sheet'!D17/'Balance Sheet'!D25,0)</f>
        <v>3.1248581415837009</v>
      </c>
      <c r="E32" s="52">
        <f>IFERROR('Balance Sheet'!E17/'Balance Sheet'!E25,0)</f>
        <v>2.9825438696476416</v>
      </c>
      <c r="F32" s="52">
        <f>IFERROR('Balance Sheet'!F17/'Balance Sheet'!F25,0)</f>
        <v>2.9214917369383526</v>
      </c>
      <c r="G32" s="52">
        <f>IFERROR('Balance Sheet'!G17/'Balance Sheet'!G25,0)</f>
        <v>3.056928828837715</v>
      </c>
      <c r="H32" s="52">
        <f>IFERROR('Balance Sheet'!H17/'Balance Sheet'!H25,0)</f>
        <v>0</v>
      </c>
      <c r="I32" s="52">
        <f>IFERROR('Balance Sheet'!I17/'Balance Sheet'!I25,0)</f>
        <v>2.7562192771352279</v>
      </c>
      <c r="J32" s="52">
        <f>IFERROR('Balance Sheet'!J17/'Balance Sheet'!J25,0)</f>
        <v>12.879191530135287</v>
      </c>
      <c r="K32" s="52">
        <f>IFERROR('Balance Sheet'!K17/'Balance Sheet'!K25,0)</f>
        <v>2.7511617820950529</v>
      </c>
      <c r="L32" s="52">
        <f>IFERROR('Balance Sheet'!L17/'Balance Sheet'!L25,0)</f>
        <v>2.747346295610976</v>
      </c>
      <c r="M32" s="52">
        <f>IFERROR('Balance Sheet'!M17/'Balance Sheet'!M25,0)</f>
        <v>2.77454332007949</v>
      </c>
      <c r="N32" s="52">
        <f>IFERROR('Balance Sheet'!N17/'Balance Sheet'!N25,0)</f>
        <v>3.0084350822393735</v>
      </c>
      <c r="O32" s="52">
        <f>IFERROR('Balance Sheet'!O17/'Balance Sheet'!O25,0)</f>
        <v>9.4782567190470193</v>
      </c>
      <c r="P32" s="52">
        <f>IFERROR('Balance Sheet'!P17/'Balance Sheet'!P25,0)</f>
        <v>6217.2632044859192</v>
      </c>
      <c r="Q32" s="52">
        <f>IFERROR('Balance Sheet'!Q17/'Balance Sheet'!Q25,0)</f>
        <v>2.9198676189857573</v>
      </c>
      <c r="R32" s="52">
        <f>IFERROR('Balance Sheet'!R17/'Balance Sheet'!R25,0)</f>
        <v>1.1621566623208595</v>
      </c>
      <c r="S32" s="52">
        <f>IFERROR('Balance Sheet'!S17/'Balance Sheet'!S25,0)</f>
        <v>3.4879695655439806</v>
      </c>
      <c r="T32" s="52">
        <f>IFERROR('Balance Sheet'!T17/'Balance Sheet'!T25,0)</f>
        <v>2.9766254994015005</v>
      </c>
      <c r="U32" s="52">
        <f>IFERROR('Balance Sheet'!U17/'Balance Sheet'!U25,0)</f>
        <v>3.3329965150374519</v>
      </c>
      <c r="V32" s="52">
        <f>IFERROR('Balance Sheet'!V17/'Balance Sheet'!V25,0)</f>
        <v>3.249078322699499</v>
      </c>
    </row>
    <row r="33" spans="1:22">
      <c r="A33" t="s">
        <v>274</v>
      </c>
      <c r="B33" s="52">
        <f>IFERROR('Income Statement'!B15/(-'Income Statement'!B19),0)</f>
        <v>0.4865563723993529</v>
      </c>
      <c r="C33" s="52">
        <f>IFERROR('Income Statement'!C15/(-'Income Statement'!C19),0)</f>
        <v>-0.24401109959557138</v>
      </c>
      <c r="D33" s="52">
        <f>IFERROR('Income Statement'!D15/(-'Income Statement'!D19),0)</f>
        <v>2.7364604949419551</v>
      </c>
      <c r="E33" s="52">
        <f>IFERROR('Income Statement'!E15/(-'Income Statement'!E19),0)</f>
        <v>1.6808993631560729</v>
      </c>
      <c r="F33" s="52">
        <f>IFERROR('Income Statement'!F15/(-'Income Statement'!F19),0)</f>
        <v>2.7320297464995971</v>
      </c>
      <c r="G33" s="52">
        <f>IFERROR('Income Statement'!G15/(-'Income Statement'!G19),0)</f>
        <v>3.7371749587609475</v>
      </c>
      <c r="H33" s="52">
        <f>IFERROR('Income Statement'!H15/(-'Income Statement'!H19),0)</f>
        <v>3.0310819498720991</v>
      </c>
      <c r="I33" s="52">
        <f>IFERROR('Income Statement'!I15/(-'Income Statement'!I19),0)</f>
        <v>3.8340967821119585</v>
      </c>
      <c r="J33" s="52">
        <f>IFERROR('Income Statement'!J15/(-'Income Statement'!J19),0)</f>
        <v>3.9276401567325356</v>
      </c>
      <c r="K33" s="52">
        <f>IFERROR('Income Statement'!K15/(-'Income Statement'!K19),0)</f>
        <v>2.6895834944292205</v>
      </c>
      <c r="L33" s="52">
        <f>IFERROR('Income Statement'!L15/(-'Income Statement'!L19),0)</f>
        <v>2.6669988934796747</v>
      </c>
      <c r="M33" s="52">
        <f>IFERROR('Income Statement'!M15/(-'Income Statement'!M19),0)</f>
        <v>2.9554724126392187</v>
      </c>
      <c r="N33" s="52">
        <f>IFERROR('Income Statement'!N15/(-'Income Statement'!N19),0)</f>
        <v>4.6898971115085715</v>
      </c>
      <c r="O33" s="52">
        <f>IFERROR('Income Statement'!O15/(-'Income Statement'!O19),0)</f>
        <v>1.7682633171307753</v>
      </c>
      <c r="P33" s="52">
        <f>IFERROR('Income Statement'!P15/(-'Income Statement'!P19),0)</f>
        <v>2.7254995861625657</v>
      </c>
      <c r="Q33" s="52">
        <f>IFERROR('Income Statement'!Q15/(-'Income Statement'!Q19),0)</f>
        <v>2.5050530337251291</v>
      </c>
      <c r="R33" s="52">
        <f>IFERROR('Income Statement'!R15/(-'Income Statement'!R19),0)</f>
        <v>1.0887498580175943</v>
      </c>
      <c r="S33" s="52">
        <f>IFERROR('Income Statement'!S15/(-'Income Statement'!S19),0)</f>
        <v>1.0564180574925039</v>
      </c>
      <c r="T33" s="52">
        <f>IFERROR('Income Statement'!T15/(-'Income Statement'!T19),0)</f>
        <v>2.177799410678094</v>
      </c>
      <c r="U33" s="52">
        <f>IFERROR('Income Statement'!U15/(-'Income Statement'!U19),0)</f>
        <v>1.4555245338607172</v>
      </c>
      <c r="V33" s="52">
        <f>IFERROR('Income Statement'!V15/(-'Income Statement'!V19),0)</f>
        <v>1.7438241889413861</v>
      </c>
    </row>
    <row r="34" spans="1:22">
      <c r="A34" t="s">
        <v>275</v>
      </c>
      <c r="B34" s="50">
        <f>IFERROR((-'Income Statement'!B19)*365/B3/B27,0)</f>
        <v>8.8426099142765308E-2</v>
      </c>
      <c r="C34" s="50">
        <f>IFERROR((-'Income Statement'!C19)*365/C3/AVERAGE(B27,C27),0)</f>
        <v>0.10489276914503549</v>
      </c>
      <c r="D34" s="50">
        <f>IFERROR((-'Income Statement'!D19)*365/D3/AVERAGE(C27,D27),0)</f>
        <v>9.9378796502009634E-2</v>
      </c>
      <c r="E34" s="50">
        <f>IFERROR((-'Income Statement'!E19)/E27,0)</f>
        <v>9.5974841337035904E-2</v>
      </c>
      <c r="F34" s="50">
        <f>IFERROR((-'Income Statement'!F19)*365/F3/AVERAGE(E27,F27),0)</f>
        <v>0.14419794700832456</v>
      </c>
      <c r="G34" s="50">
        <f>IFERROR((-'Income Statement'!G19)*365/G3/AVERAGE(F27,G27),0)</f>
        <v>9.7267430587958517E-2</v>
      </c>
      <c r="H34" s="50">
        <f>IFERROR((-'Income Statement'!H19)*365/H3/AVERAGE(G27,H27),0)</f>
        <v>0.10332129658524378</v>
      </c>
      <c r="I34" s="50">
        <f>IFERROR((-'Income Statement'!I19)/AVERAGE(E27,I27),0)</f>
        <v>0.10720163275974259</v>
      </c>
      <c r="J34" s="50">
        <f>IFERROR((-'Income Statement'!J19)*365/J3/AVERAGE(I27,J27),0)</f>
        <v>0.39518622714765456</v>
      </c>
      <c r="K34" s="50">
        <f>IFERROR((-'Income Statement'!K19)*365/K3/AVERAGE(J27,K27),0)</f>
        <v>0</v>
      </c>
      <c r="L34" s="50">
        <f>IFERROR((-'Income Statement'!L19)*365/L3/AVERAGE(K27,L27),0)</f>
        <v>0.48087525607356724</v>
      </c>
      <c r="M34" s="50">
        <f>IFERROR((-'Income Statement'!M19)/AVERAGE(I27,M27),0)</f>
        <v>0.21266709549690452</v>
      </c>
      <c r="N34" s="50">
        <f>IFERROR((-'Income Statement'!N19)*365/N3/AVERAGE(M27,N27),0)</f>
        <v>0.12051783484211379</v>
      </c>
      <c r="O34" s="50">
        <f>IFERROR((-'Income Statement'!O19)*365/O3/AVERAGE(N27,O27),0)</f>
        <v>0.56648415979204636</v>
      </c>
      <c r="P34" s="50">
        <f>IFERROR((-'Income Statement'!P19)*365/P3/AVERAGE(O27,P27),0)</f>
        <v>0.20583916253546602</v>
      </c>
      <c r="Q34" s="50">
        <f>IFERROR((-'Income Statement'!Q19)/AVERAGE(M27,Q27),0)</f>
        <v>0.23541198519339784</v>
      </c>
      <c r="R34" s="50">
        <f>IFERROR((-'Income Statement'!R19)*365/R3/AVERAGE(Q27,R27),0)</f>
        <v>0.24650329781680505</v>
      </c>
      <c r="S34" s="50">
        <f>IFERROR((-'Income Statement'!S19)*365/S3/AVERAGE(R27,S27),0)</f>
        <v>0.23749353307647494</v>
      </c>
      <c r="T34" s="50">
        <f>IFERROR((-'Income Statement'!T19)*365/T3/AVERAGE(S27,T27),0)</f>
        <v>0.23084709891742919</v>
      </c>
      <c r="U34" s="50">
        <f>IFERROR((-'Income Statement'!U19)/AVERAGE(Q27,U27),0)</f>
        <v>0.22811234019936802</v>
      </c>
      <c r="V34" s="50">
        <f>IFERROR((-'Income Statement'!V19)*365/V3/AVERAGE(U27,V27),0)</f>
        <v>0.24248156927446557</v>
      </c>
    </row>
    <row r="35" spans="1:22">
      <c r="A35" s="51" t="s">
        <v>262</v>
      </c>
    </row>
    <row r="36" spans="1:22">
      <c r="A36" t="s">
        <v>263</v>
      </c>
      <c r="B36" s="52">
        <f>IFERROR((-'Income Statement'!B3*365/B3)/'Balance Sheet'!B11,0)</f>
        <v>5.8304583726336539</v>
      </c>
      <c r="C36" s="52">
        <f>IFERROR((-'Income Statement'!C3*365/C3)/'Balance Sheet'!C11,0)</f>
        <v>4.8853001427948897</v>
      </c>
      <c r="D36" s="52">
        <f>IFERROR((-'Income Statement'!D3*365/D3)/'Balance Sheet'!D11,0)</f>
        <v>6.0159579601830551</v>
      </c>
      <c r="E36" s="57">
        <f>IFERROR((-'Income Statement'!E3)/'Balance Sheet'!E11,0)</f>
        <v>182.9095665408351</v>
      </c>
      <c r="F36" s="52">
        <f>IFERROR((-'Income Statement'!F3*365/F3)/'Balance Sheet'!F11,0)</f>
        <v>218.18034324951569</v>
      </c>
      <c r="G36" s="52">
        <f>IFERROR((-'Income Statement'!G3*365/G3)/'Balance Sheet'!G11,0)</f>
        <v>4.9159170952444544</v>
      </c>
      <c r="H36" s="52">
        <f>IFERROR((-'Income Statement'!H3*365/H3)/'Balance Sheet'!H11,0)</f>
        <v>0</v>
      </c>
      <c r="I36" s="52">
        <f>IFERROR((-'Income Statement'!I3)/'Balance Sheet'!I11,0)</f>
        <v>6.8986524222897936</v>
      </c>
      <c r="J36" s="52">
        <f>IFERROR((-'Income Statement'!J3*365/J3)/'Balance Sheet'!J11,0)</f>
        <v>6.9417148961559549</v>
      </c>
      <c r="K36" s="52">
        <f>IFERROR((-'Income Statement'!K3*365/K3)/'Balance Sheet'!K11,0)</f>
        <v>6.6244932632091258</v>
      </c>
      <c r="L36" s="52">
        <f>IFERROR((-'Income Statement'!L3*365/L3)/'Balance Sheet'!L11,0)</f>
        <v>9.2424282248764413</v>
      </c>
      <c r="M36" s="52">
        <f>IFERROR((-'Income Statement'!M3)/'Balance Sheet'!M11,0)</f>
        <v>6.6199519104087967</v>
      </c>
      <c r="N36" s="52">
        <f>IFERROR((-'Income Statement'!N3*365/N3)/'Balance Sheet'!N11,0)</f>
        <v>6.3642771957014039</v>
      </c>
      <c r="O36" s="52">
        <f>IFERROR((-'Income Statement'!O3*365/O3)/'Balance Sheet'!O11,0)</f>
        <v>1.5275341805954685</v>
      </c>
      <c r="P36" s="52">
        <f>IFERROR((-'Income Statement'!P3*365/P3)/'Balance Sheet'!P11,0)</f>
        <v>7.4352309793905453</v>
      </c>
      <c r="Q36" s="52">
        <f>IFERROR((-'Income Statement'!Q3)/'Balance Sheet'!Q11,0)</f>
        <v>5.748788304128972</v>
      </c>
      <c r="R36" s="52">
        <f>IFERROR((-'Income Statement'!R3*365/R3)/'Balance Sheet'!R11,0)</f>
        <v>0</v>
      </c>
      <c r="S36" s="52">
        <f>IFERROR((-'Income Statement'!S3*365/S3)/'Balance Sheet'!S11,0)</f>
        <v>4.2525520581009024</v>
      </c>
      <c r="T36" s="52">
        <f>IFERROR((-'Income Statement'!T3*365/T3)/'Balance Sheet'!T11,0)</f>
        <v>7.7252971977150642</v>
      </c>
      <c r="U36" s="52">
        <f>IFERROR((-'Income Statement'!U3)/'Balance Sheet'!U11,0)</f>
        <v>5.6910681810112314</v>
      </c>
      <c r="V36" s="52">
        <f>IFERROR((-'Income Statement'!V3*365/V3)/'Balance Sheet'!V11,0)</f>
        <v>6.5696474965473568</v>
      </c>
    </row>
    <row r="37" spans="1:22">
      <c r="A37" t="s">
        <v>264</v>
      </c>
      <c r="B37" s="52">
        <f>IFERROR(('Income Statement'!B2*365/B3)/'Balance Sheet'!B12,0)</f>
        <v>4.296454533964992</v>
      </c>
      <c r="C37" s="52">
        <f>IFERROR(('Income Statement'!C2*365/C3)/'Balance Sheet'!C12,0)</f>
        <v>4.7093856397108524</v>
      </c>
      <c r="D37" s="52">
        <f>IFERROR(('Income Statement'!D2*365/D3)/'Balance Sheet'!D12,0)</f>
        <v>5.7914946851802727</v>
      </c>
      <c r="E37" s="52">
        <f>IFERROR(('Income Statement'!E2)/'Balance Sheet'!E12,0)</f>
        <v>5.2735573252012022</v>
      </c>
      <c r="F37" s="52">
        <f>IFERROR(('Income Statement'!F2*365/F3)/'Balance Sheet'!F12,0)</f>
        <v>6.6227805164940863</v>
      </c>
      <c r="G37" s="52">
        <f>IFERROR(('Income Statement'!G2*365/G3)/'Balance Sheet'!G12,0)</f>
        <v>5.9896959749133032</v>
      </c>
      <c r="H37" s="52">
        <f>IFERROR(('Income Statement'!H2*365/H3)/'Balance Sheet'!H12,0)</f>
        <v>0</v>
      </c>
      <c r="I37" s="52">
        <f>IFERROR(('Income Statement'!I2)/'Balance Sheet'!I12,0)</f>
        <v>8.8190728992646452</v>
      </c>
      <c r="J37" s="52">
        <f>IFERROR(('Income Statement'!J2*365/J3)/'Balance Sheet'!J12,0)</f>
        <v>0</v>
      </c>
      <c r="K37" s="52">
        <f>IFERROR(('Income Statement'!K2*365/K3)/'Balance Sheet'!K12,0)</f>
        <v>7.5306836580277778</v>
      </c>
      <c r="L37" s="52">
        <f>IFERROR(('Income Statement'!L2*365/L3)/'Balance Sheet'!L12,0)</f>
        <v>8.2098177229396914</v>
      </c>
      <c r="M37" s="52">
        <f>IFERROR(('Income Statement'!M2)/'Balance Sheet'!M12,0)</f>
        <v>7.9989084937067556</v>
      </c>
      <c r="N37" s="52">
        <f>IFERROR(('Income Statement'!N2*365/N3)/'Balance Sheet'!N12,0)</f>
        <v>7.5603651290910223</v>
      </c>
      <c r="O37" s="52">
        <f>IFERROR(('Income Statement'!O2*365/O3)/'Balance Sheet'!O12,0)</f>
        <v>36.145176461566479</v>
      </c>
      <c r="P37" s="52">
        <f>IFERROR(('Income Statement'!P2*365/P3)/'Balance Sheet'!P12,0)</f>
        <v>0</v>
      </c>
      <c r="Q37" s="52">
        <f>IFERROR(('Income Statement'!Q2)/'Balance Sheet'!Q12,0)</f>
        <v>7.0567499957321687</v>
      </c>
      <c r="R37" s="52">
        <f>IFERROR(('Income Statement'!R2*365/R3)/'Balance Sheet'!R12,0)</f>
        <v>5.842545944065515</v>
      </c>
      <c r="S37" s="52">
        <f>IFERROR(('Income Statement'!S2*365/S3)/'Balance Sheet'!S12,0)</f>
        <v>6.0025052111089012</v>
      </c>
      <c r="T37" s="52">
        <f>IFERROR(('Income Statement'!T2*365/T3)/'Balance Sheet'!T12,0)</f>
        <v>7.2223947424857498</v>
      </c>
      <c r="U37" s="52">
        <f>IFERROR(('Income Statement'!U2)/'Balance Sheet'!U12,0)</f>
        <v>6.1515152601401475</v>
      </c>
      <c r="V37" s="52">
        <f>IFERROR(('Income Statement'!V2*365/V3)/'Balance Sheet'!V12,0)</f>
        <v>5.7636905350857752</v>
      </c>
    </row>
    <row r="38" spans="1:22">
      <c r="A38" t="s">
        <v>265</v>
      </c>
      <c r="B38" s="52">
        <f>IFERROR((-'Income Statement'!B3*365/B3)/'Balance Sheet'!B36,0)</f>
        <v>9.0420321794061227</v>
      </c>
      <c r="C38" s="52">
        <f>IFERROR((-'Income Statement'!C3*365/C3)/'Balance Sheet'!C36,0)</f>
        <v>8.556851638964929</v>
      </c>
      <c r="D38" s="52">
        <f>IFERROR((-'Income Statement'!D3*365/D3)/'Balance Sheet'!D36,0)</f>
        <v>10.699134026915356</v>
      </c>
      <c r="E38" s="52">
        <f>IFERROR((-'Income Statement'!E3)/'Balance Sheet'!E36,0)</f>
        <v>7.187136963427279</v>
      </c>
      <c r="F38" s="52">
        <f>IFERROR((-'Income Statement'!F3*365/F3)/'Balance Sheet'!F36,0)</f>
        <v>10.64588383205689</v>
      </c>
      <c r="G38" s="52">
        <f>IFERROR((-'Income Statement'!G3*365/G3)/'Balance Sheet'!G36,0)</f>
        <v>10.546324504588032</v>
      </c>
      <c r="H38" s="52">
        <f>IFERROR((-'Income Statement'!H3*365/H3)/'Balance Sheet'!H36,0)</f>
        <v>13.189527332792927</v>
      </c>
      <c r="I38" s="52">
        <f>IFERROR((-'Income Statement'!I3)/'Balance Sheet'!I36,0)</f>
        <v>17.167733456207888</v>
      </c>
      <c r="J38" s="52">
        <f>IFERROR((-'Income Statement'!J3*365/J3)/'Balance Sheet'!J36,0)</f>
        <v>0</v>
      </c>
      <c r="K38" s="52">
        <f>IFERROR((-'Income Statement'!K3*365/K3)/'Balance Sheet'!K36,0)</f>
        <v>23.817208798828332</v>
      </c>
      <c r="L38" s="52">
        <f>IFERROR((-'Income Statement'!L3*365/L3)/'Balance Sheet'!L36,0)</f>
        <v>24.056900342088518</v>
      </c>
      <c r="M38" s="52">
        <f>IFERROR((-'Income Statement'!M3)/'Balance Sheet'!M36,0)</f>
        <v>20.161199315904192</v>
      </c>
      <c r="N38" s="52">
        <f>IFERROR((-'Income Statement'!N3*365/N3)/'Balance Sheet'!N36,0)</f>
        <v>26.45831488380713</v>
      </c>
      <c r="O38" s="52">
        <f>IFERROR((-'Income Statement'!O3*365/O3)/'Balance Sheet'!O36,0)</f>
        <v>17581.207572405863</v>
      </c>
      <c r="P38" s="52">
        <f>IFERROR((-'Income Statement'!P3*365/P3)/'Balance Sheet'!P36,0)</f>
        <v>15.274676933442667</v>
      </c>
      <c r="Q38" s="52">
        <f>IFERROR((-'Income Statement'!Q3)/'Balance Sheet'!Q36,0)</f>
        <v>16.666875362239892</v>
      </c>
      <c r="R38" s="52">
        <f>IFERROR((-'Income Statement'!R3*365/R3)/'Balance Sheet'!R36,0)</f>
        <v>12.798289146870106</v>
      </c>
      <c r="S38" s="52">
        <f>IFERROR((-'Income Statement'!S3*365/S3)/'Balance Sheet'!S36,0)</f>
        <v>13.010003043529972</v>
      </c>
      <c r="T38" s="52">
        <f>IFERROR((-'Income Statement'!T3*365/T3)/'Balance Sheet'!T36,0)</f>
        <v>12.070053413161038</v>
      </c>
      <c r="U38" s="52">
        <f>IFERROR((-'Income Statement'!U3)/'Balance Sheet'!U36,0)</f>
        <v>11.373960336011857</v>
      </c>
      <c r="V38" s="52">
        <f>IFERROR((-'Income Statement'!V3*365/V3)/'Balance Sheet'!V36,0)</f>
        <v>11.02443108922091</v>
      </c>
    </row>
    <row r="40" spans="1:22">
      <c r="A40" s="51" t="s">
        <v>266</v>
      </c>
    </row>
    <row r="41" spans="1:22">
      <c r="A41" t="s">
        <v>267</v>
      </c>
      <c r="F41" s="50">
        <f>IFERROR('Income Statement'!F2/'Income Statement'!B2-1,0)</f>
        <v>0.73344290399733292</v>
      </c>
      <c r="G41" s="50">
        <f>IFERROR('Income Statement'!G2/'Income Statement'!C2-1,0)</f>
        <v>0.71950285845374284</v>
      </c>
      <c r="H41" s="50">
        <f>IFERROR('Income Statement'!H2/'Income Statement'!D2-1,0)</f>
        <v>0.37935062943758813</v>
      </c>
      <c r="I41" s="50">
        <f>IFERROR('Income Statement'!I2/'Income Statement'!E2-1,0)</f>
        <v>0.55270279896986052</v>
      </c>
      <c r="J41" s="50">
        <f>IFERROR('Income Statement'!J2/'Income Statement'!F2-1,0)</f>
        <v>0.5578017446887189</v>
      </c>
      <c r="K41" s="50">
        <f>IFERROR('Income Statement'!K2/'Income Statement'!G2-1,0)</f>
        <v>0.36591026914352454</v>
      </c>
      <c r="L41" s="50">
        <f>IFERROR('Income Statement'!L2/'Income Statement'!H2-1,0)</f>
        <v>0.51742610510134046</v>
      </c>
      <c r="M41" s="50">
        <f>IFERROR('Income Statement'!M2/'Income Statement'!I2-1,0)</f>
        <v>0.43821998514603289</v>
      </c>
      <c r="N41" s="50">
        <f>IFERROR('Income Statement'!N2/'Income Statement'!J2-1,0)</f>
        <v>0.30606481664503327</v>
      </c>
      <c r="O41" s="50">
        <f>IFERROR('Income Statement'!O2/'Income Statement'!K2-1,0)</f>
        <v>0.31204135385413201</v>
      </c>
      <c r="P41" s="50">
        <f>IFERROR('Income Statement'!P2/'Income Statement'!L2-1,0)</f>
        <v>0.27120949051948573</v>
      </c>
      <c r="Q41" s="50">
        <f>IFERROR('Income Statement'!Q2/'Income Statement'!M2-1,0)</f>
        <v>0.22940041079919959</v>
      </c>
      <c r="R41" s="50">
        <f>IFERROR('Income Statement'!R2/'Income Statement'!N2-1,0)</f>
        <v>-1.3430658164152121E-2</v>
      </c>
      <c r="S41" s="50">
        <f>IFERROR('Income Statement'!S2/'Income Statement'!O2-1,0)</f>
        <v>-2.9252542150084437E-2</v>
      </c>
      <c r="T41" s="50">
        <f>IFERROR('Income Statement'!T2/'Income Statement'!P2-1,0)</f>
        <v>7.0356124369756134E-2</v>
      </c>
      <c r="U41" s="50">
        <f>IFERROR('Income Statement'!U2/'Income Statement'!Q2-1,0)</f>
        <v>1.7823012551551054E-2</v>
      </c>
      <c r="V41" s="50">
        <f>IFERROR('Income Statement'!V2/'Income Statement'!R2-1,0)</f>
        <v>0.13658226071162205</v>
      </c>
    </row>
    <row r="42" spans="1:22">
      <c r="A42" t="s">
        <v>268</v>
      </c>
      <c r="F42" s="50">
        <f>IFERROR('Income Statement'!F4/'Income Statement'!B4-1,0)</f>
        <v>1.0300391591131399</v>
      </c>
      <c r="G42" s="50">
        <f>IFERROR('Income Statement'!G4/'Income Statement'!C4-1,0)</f>
        <v>1.0246385539899436</v>
      </c>
      <c r="H42" s="50">
        <f>IFERROR('Income Statement'!H4/'Income Statement'!D4-1,0)</f>
        <v>0.35097526332623663</v>
      </c>
      <c r="I42" s="50">
        <f>IFERROR('Income Statement'!I4/'Income Statement'!E4-1,0)</f>
        <v>0.68806007562993909</v>
      </c>
      <c r="J42" s="50">
        <f>IFERROR('Income Statement'!J4/'Income Statement'!F4-1,0)</f>
        <v>0.68777511161027061</v>
      </c>
      <c r="K42" s="50">
        <f>IFERROR('Income Statement'!K4/'Income Statement'!G4-1,0)</f>
        <v>0.44511234208853234</v>
      </c>
      <c r="L42" s="50">
        <f>IFERROR('Income Statement'!L4/'Income Statement'!H4-1,0)</f>
        <v>0.44385147851992879</v>
      </c>
      <c r="M42" s="50">
        <f>IFERROR('Income Statement'!M4/'Income Statement'!I4-1,0)</f>
        <v>0.24265304254311904</v>
      </c>
      <c r="N42" s="50">
        <f>IFERROR('Income Statement'!N4/'Income Statement'!J4-1,0)</f>
        <v>8.6764367456053204E-2</v>
      </c>
      <c r="O42" s="50">
        <f>IFERROR('Income Statement'!O4/'Income Statement'!K4-1,0)</f>
        <v>0.1998634383254605</v>
      </c>
      <c r="P42" s="50">
        <f>IFERROR('Income Statement'!P4/'Income Statement'!L4-1,0)</f>
        <v>0.40968313153600833</v>
      </c>
      <c r="Q42" s="50">
        <f>IFERROR('Income Statement'!Q4/'Income Statement'!M4-1,0)</f>
        <v>0.35305243468982073</v>
      </c>
      <c r="R42" s="50">
        <f>IFERROR('Income Statement'!R4/'Income Statement'!N4-1,0)</f>
        <v>2.7954193092336155E-2</v>
      </c>
      <c r="S42" s="50">
        <f>IFERROR('Income Statement'!S4/'Income Statement'!O4-1,0)</f>
        <v>-4.9692912349212359E-2</v>
      </c>
      <c r="T42" s="50">
        <f>IFERROR('Income Statement'!T4/'Income Statement'!P4-1,0)</f>
        <v>8.6240960976941228E-2</v>
      </c>
      <c r="U42" s="50">
        <f>IFERROR('Income Statement'!U4/'Income Statement'!Q4-1,0)</f>
        <v>6.3467190567715104E-2</v>
      </c>
      <c r="V42" s="50">
        <f>IFERROR('Income Statement'!V4/'Income Statement'!R4-1,0)</f>
        <v>0.22792808906240269</v>
      </c>
    </row>
    <row r="43" spans="1:22">
      <c r="A43" t="s">
        <v>269</v>
      </c>
      <c r="F43" s="50">
        <f>IFERROR('Income Statement'!F15/'Income Statement'!B15-1,0)</f>
        <v>9.3896053601988712</v>
      </c>
      <c r="G43" s="50">
        <f>IFERROR('Income Statement'!G15/'Income Statement'!C15-1,0)</f>
        <v>-17.429903921254649</v>
      </c>
      <c r="H43" s="50">
        <f>IFERROR('Income Statement'!H15/'Income Statement'!D15-1,0)</f>
        <v>0.31229710163982283</v>
      </c>
      <c r="I43" s="50">
        <f>IFERROR('Income Statement'!I15/'Income Statement'!E15-1,0)</f>
        <v>1.8484414353431897</v>
      </c>
      <c r="J43" s="50">
        <f>IFERROR('Income Statement'!J15/'Income Statement'!F15-1,0)</f>
        <v>1.4236071268679655</v>
      </c>
      <c r="K43" s="50">
        <f>IFERROR('Income Statement'!K15/'Income Statement'!G15-1,0)</f>
        <v>0.82928025788530291</v>
      </c>
      <c r="L43" s="50">
        <f>IFERROR('Income Statement'!L15/'Income Statement'!H15-1,0)</f>
        <v>1.1117050127705732</v>
      </c>
      <c r="M43" s="50">
        <f>IFERROR('Income Statement'!M15/'Income Statement'!I15-1,0)</f>
        <v>0.81296869887239853</v>
      </c>
      <c r="N43" s="50">
        <f>IFERROR('Income Statement'!N15/'Income Statement'!J15-1,0)</f>
        <v>-1.0016955987093179E-2</v>
      </c>
      <c r="O43" s="50">
        <f>IFERROR('Income Statement'!O15/'Income Statement'!K15-1,0)</f>
        <v>0.34491697566169566</v>
      </c>
      <c r="P43" s="50">
        <f>IFERROR('Income Statement'!P15/'Income Statement'!L15-1,0)</f>
        <v>0.65664547745195878</v>
      </c>
      <c r="Q43" s="50">
        <f>IFERROR('Income Statement'!Q15/'Income Statement'!M15-1,0)</f>
        <v>0.25099389838254815</v>
      </c>
      <c r="R43" s="50">
        <f>IFERROR('Income Statement'!R15/'Income Statement'!N15-1,0)</f>
        <v>-0.32792007928268807</v>
      </c>
      <c r="S43" s="50">
        <f>IFERROR('Income Statement'!S15/'Income Statement'!O15-1,0)</f>
        <v>-0.36791762589646493</v>
      </c>
      <c r="T43" s="50">
        <f>IFERROR('Income Statement'!T15/'Income Statement'!P15-1,0)</f>
        <v>-0.23000181331399128</v>
      </c>
      <c r="U43" s="50">
        <f>IFERROR('Income Statement'!U15/'Income Statement'!Q15-1,0)</f>
        <v>-0.29273998853800887</v>
      </c>
      <c r="V43" s="50">
        <f>IFERROR('Income Statement'!V15/'Income Statement'!R15-1,0)</f>
        <v>0.47332751831224584</v>
      </c>
    </row>
    <row r="44" spans="1:22">
      <c r="A44" t="s">
        <v>270</v>
      </c>
      <c r="F44" s="50">
        <f>IFERROR('Income Statement'!F24/'Income Statement'!B24-1,0)</f>
        <v>-28.178376482711922</v>
      </c>
      <c r="G44" s="50">
        <f>IFERROR('Income Statement'!G24/'Income Statement'!C24-1,0)</f>
        <v>-3.0856673709603855</v>
      </c>
      <c r="H44" s="50">
        <f>IFERROR('Income Statement'!H24/'Income Statement'!D24-1,0)</f>
        <v>-1.6898768115410356E-2</v>
      </c>
      <c r="I44" s="50">
        <f>IFERROR('Income Statement'!I24/'Income Statement'!E24-1,0)</f>
        <v>2.6686150715392749</v>
      </c>
      <c r="J44" s="50">
        <f>IFERROR('Income Statement'!J24/'Income Statement'!F24-1,0)</f>
        <v>2.0046755220678376</v>
      </c>
      <c r="K44" s="50">
        <f>IFERROR('Income Statement'!K24/'Income Statement'!G24-1,0)</f>
        <v>0.66035015101693584</v>
      </c>
      <c r="L44" s="50">
        <f>IFERROR('Income Statement'!L24/'Income Statement'!H24-1,0)</f>
        <v>0.97955406539283163</v>
      </c>
      <c r="M44" s="50">
        <f>IFERROR('Income Statement'!M24/'Income Statement'!I24-1,0)</f>
        <v>0.71033077957795343</v>
      </c>
      <c r="N44" s="50">
        <f>IFERROR('Income Statement'!N24/'Income Statement'!J24-1,0)</f>
        <v>1.2859680774254034E-2</v>
      </c>
      <c r="O44" s="50">
        <f>IFERROR('Income Statement'!O24/'Income Statement'!K24-1,0)</f>
        <v>-0.12962047681402522</v>
      </c>
      <c r="P44" s="50">
        <f>IFERROR('Income Statement'!P24/'Income Statement'!L24-1,0)</f>
        <v>0.63074452067590991</v>
      </c>
      <c r="Q44" s="50">
        <f>IFERROR('Income Statement'!Q24/'Income Statement'!M24-1,0)</f>
        <v>0.10285453508062647</v>
      </c>
      <c r="R44" s="50">
        <f>IFERROR('Income Statement'!R24/'Income Statement'!N24-1,0)</f>
        <v>-0.93090325632417037</v>
      </c>
      <c r="S44" s="50">
        <f>IFERROR('Income Statement'!S24/'Income Statement'!O24-1,0)</f>
        <v>-0.95358849841665194</v>
      </c>
      <c r="T44" s="50">
        <f>IFERROR('Income Statement'!T24/'Income Statement'!P24-1,0)</f>
        <v>-0.39459950921575593</v>
      </c>
      <c r="U44" s="50">
        <f>IFERROR('Income Statement'!U24/'Income Statement'!Q24-1,0)</f>
        <v>-0.67822551162945133</v>
      </c>
      <c r="V44" s="50">
        <f>IFERROR('Income Statement'!V24/'Income Statement'!R24-1,0)</f>
        <v>5.4521281777944939</v>
      </c>
    </row>
    <row r="45" spans="1:22">
      <c r="G45" t="s">
        <v>270</v>
      </c>
      <c r="L45" s="50">
        <f>IFERROR('Income Statement'!L25/'Income Statement'!H25-1,0)</f>
        <v>0.30454725850431341</v>
      </c>
    </row>
  </sheetData>
  <mergeCells count="1">
    <mergeCell ref="A1: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7"/>
  <sheetViews>
    <sheetView workbookViewId="0"/>
  </sheetViews>
  <sheetFormatPr defaultRowHeight="13.8"/>
  <cols>
    <col min="1" max="1" width="34" customWidth="1"/>
    <col min="2" max="22" width="13" customWidth="1"/>
    <col min="23" max="23" width="32" customWidth="1"/>
  </cols>
  <sheetData>
    <row r="1" spans="1:23" ht="31.2">
      <c r="A1" s="19" t="s">
        <v>163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/>
    </row>
    <row r="2" spans="1:23">
      <c r="A2" s="3" t="s">
        <v>87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164</v>
      </c>
    </row>
    <row r="3" spans="1:23">
      <c r="A3" s="4" t="s">
        <v>88</v>
      </c>
      <c r="B3" s="4" t="s">
        <v>89</v>
      </c>
      <c r="C3" s="4" t="s">
        <v>89</v>
      </c>
      <c r="D3" s="4" t="s">
        <v>89</v>
      </c>
      <c r="E3" s="4" t="s">
        <v>89</v>
      </c>
      <c r="F3" s="4" t="s">
        <v>89</v>
      </c>
      <c r="G3" s="4" t="s">
        <v>89</v>
      </c>
      <c r="H3" s="4" t="s">
        <v>89</v>
      </c>
      <c r="I3" s="4" t="s">
        <v>89</v>
      </c>
      <c r="J3" s="4" t="s">
        <v>89</v>
      </c>
      <c r="K3" s="4" t="s">
        <v>89</v>
      </c>
      <c r="L3" s="4" t="s">
        <v>89</v>
      </c>
      <c r="M3" s="4" t="s">
        <v>89</v>
      </c>
      <c r="N3" s="4" t="s">
        <v>89</v>
      </c>
      <c r="O3" s="4" t="s">
        <v>89</v>
      </c>
      <c r="P3" s="4" t="s">
        <v>89</v>
      </c>
      <c r="Q3" s="4" t="s">
        <v>89</v>
      </c>
      <c r="R3" s="4" t="s">
        <v>89</v>
      </c>
      <c r="S3" s="4" t="s">
        <v>89</v>
      </c>
      <c r="T3" s="4" t="s">
        <v>89</v>
      </c>
      <c r="U3" s="4" t="s">
        <v>89</v>
      </c>
      <c r="V3" s="4" t="s">
        <v>90</v>
      </c>
      <c r="W3" s="4"/>
    </row>
    <row r="4" spans="1:23" ht="23.4">
      <c r="A4" s="4" t="s">
        <v>165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  <c r="O4" s="4" t="s">
        <v>145</v>
      </c>
      <c r="P4" s="4" t="s">
        <v>146</v>
      </c>
      <c r="Q4" s="4" t="s">
        <v>147</v>
      </c>
      <c r="R4" s="4" t="s">
        <v>148</v>
      </c>
      <c r="S4" s="4" t="s">
        <v>149</v>
      </c>
      <c r="T4" s="4" t="s">
        <v>150</v>
      </c>
      <c r="U4" s="4" t="s">
        <v>151</v>
      </c>
      <c r="V4" s="4" t="s">
        <v>152</v>
      </c>
      <c r="W4" s="4"/>
    </row>
    <row r="5" spans="1:23">
      <c r="A5" s="4" t="s">
        <v>91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105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110</v>
      </c>
      <c r="U5" s="4" t="s">
        <v>111</v>
      </c>
      <c r="V5" s="4" t="s">
        <v>112</v>
      </c>
      <c r="W5" s="4"/>
    </row>
    <row r="6" spans="1:23">
      <c r="A6" t="s">
        <v>22</v>
      </c>
      <c r="B6" s="5">
        <f>'Income Statement'!B2</f>
        <v>647085002</v>
      </c>
      <c r="C6" s="5">
        <f>'Income Statement'!C2</f>
        <v>669915686</v>
      </c>
      <c r="D6" s="5">
        <f>'Income Statement'!D2</f>
        <v>956091138</v>
      </c>
      <c r="E6" s="5" t="e">
        <f>'Income Statement'!#REF!</f>
        <v>#REF!</v>
      </c>
      <c r="F6" s="5">
        <f>'Income Statement'!F2</f>
        <v>1121684905</v>
      </c>
      <c r="G6" s="5">
        <f>'Income Statement'!G2</f>
        <v>1151921937</v>
      </c>
      <c r="H6" s="5">
        <f>'Income Statement'!H2</f>
        <v>1318784913</v>
      </c>
      <c r="I6" s="5" t="e">
        <f>'Income Statement'!#REF!</f>
        <v>#REF!</v>
      </c>
      <c r="J6" s="5">
        <f>'Income Statement'!J2</f>
        <v>1747362702</v>
      </c>
      <c r="K6" s="5">
        <f>'Income Statement'!K2</f>
        <v>1573422003</v>
      </c>
      <c r="L6" s="5">
        <f>'Income Statement'!L2</f>
        <v>2001158654</v>
      </c>
      <c r="M6" s="5" t="e">
        <f>'Income Statement'!#REF!</f>
        <v>#REF!</v>
      </c>
      <c r="N6" s="5">
        <f>'Income Statement'!N2</f>
        <v>2282168947</v>
      </c>
      <c r="O6" s="5">
        <f>'Income Statement'!O2</f>
        <v>2064394735</v>
      </c>
      <c r="P6" s="5">
        <f>'Income Statement'!P2</f>
        <v>2543891873</v>
      </c>
      <c r="Q6" s="5" t="e">
        <f>'Income Statement'!#REF!</f>
        <v>#REF!</v>
      </c>
      <c r="R6" s="5">
        <f>'Income Statement'!R2</f>
        <v>2251517916</v>
      </c>
      <c r="S6" s="5">
        <f>'Income Statement'!S2</f>
        <v>2004005941</v>
      </c>
      <c r="T6" s="5">
        <f>'Income Statement'!T2</f>
        <v>2722870246</v>
      </c>
      <c r="U6" s="5" t="e">
        <f>'Income Statement'!#REF!</f>
        <v>#REF!</v>
      </c>
      <c r="V6" s="5">
        <f>'Income Statement'!V2</f>
        <v>2559035323</v>
      </c>
      <c r="W6" s="8" t="s">
        <v>166</v>
      </c>
    </row>
    <row r="7" spans="1:23">
      <c r="A7" t="s">
        <v>167</v>
      </c>
      <c r="B7" s="5">
        <f>-'Income Statement'!B3</f>
        <v>514371833</v>
      </c>
      <c r="C7" s="5">
        <f>-'Income Statement'!C3</f>
        <v>529748694</v>
      </c>
      <c r="D7" s="5">
        <f>-'Income Statement'!D3</f>
        <v>733267728</v>
      </c>
      <c r="E7" s="5" t="e">
        <f>-'Income Statement'!#REF!</f>
        <v>#REF!</v>
      </c>
      <c r="F7" s="5">
        <f>-'Income Statement'!F3</f>
        <v>852271975</v>
      </c>
      <c r="G7" s="5">
        <f>-'Income Statement'!G3</f>
        <v>868134441</v>
      </c>
      <c r="H7" s="5">
        <f>-'Income Statement'!H3</f>
        <v>1017755998</v>
      </c>
      <c r="I7" s="5" t="e">
        <f>-'Income Statement'!#REF!</f>
        <v>#REF!</v>
      </c>
      <c r="J7" s="5">
        <f>-'Income Statement'!J3</f>
        <v>1292654264</v>
      </c>
      <c r="K7" s="5">
        <f>-'Income Statement'!K3</f>
        <v>1163317190</v>
      </c>
      <c r="L7" s="5">
        <f>-'Income Statement'!L3</f>
        <v>1566517610</v>
      </c>
      <c r="M7" s="5" t="e">
        <f>-'Income Statement'!#REF!</f>
        <v>#REF!</v>
      </c>
      <c r="N7" s="5">
        <f>-'Income Statement'!N3</f>
        <v>1788008019</v>
      </c>
      <c r="O7" s="5">
        <f>-'Income Statement'!O3</f>
        <v>1572324964</v>
      </c>
      <c r="P7" s="5">
        <f>-'Income Statement'!P3</f>
        <v>1931185725</v>
      </c>
      <c r="Q7" s="5" t="e">
        <f>-'Income Statement'!#REF!</f>
        <v>#REF!</v>
      </c>
      <c r="R7" s="5">
        <f>-'Income Statement'!R3</f>
        <v>1743543118</v>
      </c>
      <c r="S7" s="5">
        <f>-'Income Statement'!S3</f>
        <v>1536388550</v>
      </c>
      <c r="T7" s="5">
        <f>-'Income Statement'!T3</f>
        <v>2057323731</v>
      </c>
      <c r="U7" s="5" t="e">
        <f>-'Income Statement'!#REF!</f>
        <v>#REF!</v>
      </c>
      <c r="V7" s="5">
        <f>-'Income Statement'!V3</f>
        <v>1935278800</v>
      </c>
      <c r="W7" s="8" t="s">
        <v>168</v>
      </c>
    </row>
    <row r="8" spans="1:23">
      <c r="A8" t="s">
        <v>46</v>
      </c>
      <c r="B8" s="5">
        <f>'Balance Sheet'!B11</f>
        <v>357787229</v>
      </c>
      <c r="C8" s="5">
        <f>'Balance Sheet'!C11</f>
        <v>439773442</v>
      </c>
      <c r="D8" s="5">
        <f>'Balance Sheet'!D11</f>
        <v>494319945</v>
      </c>
      <c r="E8" s="5">
        <f>'Balance Sheet'!E11</f>
        <v>14255299</v>
      </c>
      <c r="F8" s="5">
        <f>'Balance Sheet'!F11</f>
        <v>15842107</v>
      </c>
      <c r="G8" s="5">
        <f>'Balance Sheet'!G11</f>
        <v>716197484</v>
      </c>
      <c r="H8" s="5">
        <f>'Balance Sheet'!H11</f>
        <v>0</v>
      </c>
      <c r="I8" s="5">
        <f>'Balance Sheet'!I11</f>
        <v>572087082</v>
      </c>
      <c r="J8" s="5">
        <f>'Balance Sheet'!J11</f>
        <v>755206928</v>
      </c>
      <c r="K8" s="5">
        <f>'Balance Sheet'!K11</f>
        <v>712189945</v>
      </c>
      <c r="L8" s="5">
        <f>'Balance Sheet'!L11</f>
        <v>687384207</v>
      </c>
      <c r="M8" s="5">
        <f>'Balance Sheet'!M11</f>
        <v>894981615</v>
      </c>
      <c r="N8" s="5">
        <f>'Balance Sheet'!N11</f>
        <v>1139385610</v>
      </c>
      <c r="O8" s="5">
        <f>'Balance Sheet'!O11</f>
        <v>4174473687</v>
      </c>
      <c r="P8" s="5">
        <f>'Balance Sheet'!P11</f>
        <v>1053367544</v>
      </c>
      <c r="Q8" s="5">
        <f>'Balance Sheet'!Q11</f>
        <v>1233048891</v>
      </c>
      <c r="R8" s="5">
        <f>'Balance Sheet'!R11</f>
        <v>0</v>
      </c>
      <c r="S8" s="5">
        <f>'Balance Sheet'!S11</f>
        <v>1465216424</v>
      </c>
      <c r="T8" s="5">
        <f>'Balance Sheet'!T11</f>
        <v>1080034913</v>
      </c>
      <c r="U8" s="5">
        <f>'Balance Sheet'!U11</f>
        <v>1250611372</v>
      </c>
      <c r="V8" s="5">
        <f>'Balance Sheet'!V11</f>
        <v>1194680642</v>
      </c>
      <c r="W8" s="8" t="s">
        <v>169</v>
      </c>
    </row>
    <row r="9" spans="1:23">
      <c r="A9" t="s">
        <v>170</v>
      </c>
      <c r="B9" s="5">
        <f>'Balance Sheet'!B12</f>
        <v>610803432</v>
      </c>
      <c r="C9" s="5">
        <f>'Balance Sheet'!C12</f>
        <v>576907582</v>
      </c>
      <c r="D9" s="5">
        <f>'Balance Sheet'!D12</f>
        <v>669512956</v>
      </c>
      <c r="E9" s="5">
        <f>'Balance Sheet'!E12</f>
        <v>637237807</v>
      </c>
      <c r="F9" s="5">
        <f>'Balance Sheet'!F12</f>
        <v>686879995</v>
      </c>
      <c r="G9" s="5">
        <f>'Balance Sheet'!G12</f>
        <v>779953345</v>
      </c>
      <c r="H9" s="5">
        <f>'Balance Sheet'!H12</f>
        <v>0</v>
      </c>
      <c r="I9" s="5">
        <f>'Balance Sheet'!I12</f>
        <v>591657820</v>
      </c>
      <c r="J9" s="5">
        <f>'Balance Sheet'!J12</f>
        <v>0</v>
      </c>
      <c r="K9" s="5">
        <f>'Balance Sheet'!K12</f>
        <v>847346753</v>
      </c>
      <c r="L9" s="5">
        <f>'Balance Sheet'!L12</f>
        <v>988549365</v>
      </c>
      <c r="M9" s="5">
        <f>'Balance Sheet'!M12</f>
        <v>938184238</v>
      </c>
      <c r="N9" s="5">
        <f>'Balance Sheet'!N12</f>
        <v>1224208460</v>
      </c>
      <c r="O9" s="5">
        <f>'Balance Sheet'!O12</f>
        <v>231628902</v>
      </c>
      <c r="P9" s="5">
        <f>'Balance Sheet'!P12</f>
        <v>0</v>
      </c>
      <c r="Q9" s="5">
        <f>'Balance Sheet'!Q12</f>
        <v>1307396997</v>
      </c>
      <c r="R9" s="5">
        <f>'Balance Sheet'!R12</f>
        <v>1562872775</v>
      </c>
      <c r="S9" s="5">
        <f>'Balance Sheet'!S12</f>
        <v>1353994231</v>
      </c>
      <c r="T9" s="5">
        <f>'Balance Sheet'!T12</f>
        <v>1528959846</v>
      </c>
      <c r="U9" s="5">
        <f>'Balance Sheet'!U12</f>
        <v>1526519565</v>
      </c>
      <c r="V9" s="5">
        <f>'Balance Sheet'!V12</f>
        <v>1800636217</v>
      </c>
      <c r="W9" s="8" t="s">
        <v>169</v>
      </c>
    </row>
    <row r="10" spans="1:23">
      <c r="A10" t="s">
        <v>171</v>
      </c>
      <c r="B10" s="5">
        <f>'Balance Sheet'!B35</f>
        <v>0</v>
      </c>
      <c r="C10" s="5">
        <f>'Balance Sheet'!C35</f>
        <v>0</v>
      </c>
      <c r="D10" s="5">
        <f>'Balance Sheet'!D35</f>
        <v>0</v>
      </c>
      <c r="E10" s="5">
        <f>'Balance Sheet'!E35</f>
        <v>0</v>
      </c>
      <c r="F10" s="5">
        <f>'Balance Sheet'!F35</f>
        <v>0</v>
      </c>
      <c r="G10" s="5">
        <f>'Balance Sheet'!G35</f>
        <v>0</v>
      </c>
      <c r="H10" s="5">
        <f>'Balance Sheet'!H35</f>
        <v>0</v>
      </c>
      <c r="I10" s="5">
        <f>'Balance Sheet'!I35</f>
        <v>0</v>
      </c>
      <c r="J10" s="5">
        <f>'Balance Sheet'!J35</f>
        <v>0</v>
      </c>
      <c r="K10" s="5">
        <f>'Balance Sheet'!K35</f>
        <v>0</v>
      </c>
      <c r="L10" s="5">
        <f>'Balance Sheet'!L35</f>
        <v>0</v>
      </c>
      <c r="M10" s="5">
        <f>'Balance Sheet'!M35</f>
        <v>0</v>
      </c>
      <c r="N10" s="5">
        <f>'Balance Sheet'!N35</f>
        <v>0</v>
      </c>
      <c r="O10" s="5">
        <f>'Balance Sheet'!O35</f>
        <v>0</v>
      </c>
      <c r="P10" s="5">
        <f>'Balance Sheet'!P35</f>
        <v>0</v>
      </c>
      <c r="Q10" s="5">
        <f>'Balance Sheet'!Q35</f>
        <v>0</v>
      </c>
      <c r="R10" s="5">
        <f>'Balance Sheet'!R35</f>
        <v>0</v>
      </c>
      <c r="S10" s="5">
        <f>'Balance Sheet'!S35</f>
        <v>0</v>
      </c>
      <c r="T10" s="5">
        <f>'Balance Sheet'!T35</f>
        <v>0</v>
      </c>
      <c r="U10" s="5">
        <f>'Balance Sheet'!U35</f>
        <v>0</v>
      </c>
      <c r="V10" s="5">
        <f>'Balance Sheet'!V35</f>
        <v>0</v>
      </c>
      <c r="W10" s="8" t="s">
        <v>169</v>
      </c>
    </row>
    <row r="11" spans="1:23">
      <c r="A11" t="s">
        <v>172</v>
      </c>
      <c r="B11" s="11">
        <f t="shared" ref="B11:V11" si="0">IFERROR(B8/B7*91.25,0)</f>
        <v>63.471758272288604</v>
      </c>
      <c r="C11" s="11">
        <f t="shared" si="0"/>
        <v>75.751629096984615</v>
      </c>
      <c r="D11" s="11">
        <f t="shared" si="0"/>
        <v>61.514632730775247</v>
      </c>
      <c r="E11" s="11">
        <f t="shared" si="0"/>
        <v>0</v>
      </c>
      <c r="F11" s="11">
        <f t="shared" si="0"/>
        <v>1.6961630866132844</v>
      </c>
      <c r="G11" s="11">
        <f t="shared" si="0"/>
        <v>75.279838385077952</v>
      </c>
      <c r="H11" s="11">
        <f t="shared" si="0"/>
        <v>0</v>
      </c>
      <c r="I11" s="11">
        <f t="shared" si="0"/>
        <v>0</v>
      </c>
      <c r="J11" s="11">
        <f t="shared" si="0"/>
        <v>53.310954134600685</v>
      </c>
      <c r="K11" s="11">
        <f t="shared" si="0"/>
        <v>55.863811727264171</v>
      </c>
      <c r="L11" s="11">
        <f t="shared" si="0"/>
        <v>40.040283293559654</v>
      </c>
      <c r="M11" s="11">
        <f t="shared" si="0"/>
        <v>0</v>
      </c>
      <c r="N11" s="11">
        <f t="shared" si="0"/>
        <v>58.147914219449596</v>
      </c>
      <c r="O11" s="11">
        <f t="shared" si="0"/>
        <v>242.26590091763626</v>
      </c>
      <c r="P11" s="11">
        <f t="shared" si="0"/>
        <v>49.772420718364621</v>
      </c>
      <c r="Q11" s="11">
        <f t="shared" si="0"/>
        <v>0</v>
      </c>
      <c r="R11" s="11">
        <f t="shared" si="0"/>
        <v>0</v>
      </c>
      <c r="S11" s="11">
        <f t="shared" si="0"/>
        <v>87.022907512555989</v>
      </c>
      <c r="T11" s="11">
        <f t="shared" si="0"/>
        <v>47.903586745361856</v>
      </c>
      <c r="U11" s="11">
        <f t="shared" si="0"/>
        <v>0</v>
      </c>
      <c r="V11" s="11">
        <f t="shared" si="0"/>
        <v>56.330182804927119</v>
      </c>
      <c r="W11" s="8" t="s">
        <v>173</v>
      </c>
    </row>
    <row r="12" spans="1:23">
      <c r="A12" t="s">
        <v>174</v>
      </c>
      <c r="B12" s="11">
        <f t="shared" ref="B12:V12" si="1">IFERROR(B9/B6*91.25,0)</f>
        <v>86.133681043035523</v>
      </c>
      <c r="C12" s="11">
        <f t="shared" si="1"/>
        <v>78.581257250184763</v>
      </c>
      <c r="D12" s="11">
        <f t="shared" si="1"/>
        <v>63.898779945599706</v>
      </c>
      <c r="E12" s="11">
        <f t="shared" si="1"/>
        <v>0</v>
      </c>
      <c r="F12" s="11">
        <f t="shared" si="1"/>
        <v>55.878258915992099</v>
      </c>
      <c r="G12" s="11">
        <f t="shared" si="1"/>
        <v>61.784345314755477</v>
      </c>
      <c r="H12" s="11">
        <f t="shared" si="1"/>
        <v>0</v>
      </c>
      <c r="I12" s="11">
        <f t="shared" si="1"/>
        <v>0</v>
      </c>
      <c r="J12" s="11">
        <f t="shared" si="1"/>
        <v>0</v>
      </c>
      <c r="K12" s="11">
        <f t="shared" si="1"/>
        <v>49.141546936438765</v>
      </c>
      <c r="L12" s="11">
        <f t="shared" si="1"/>
        <v>45.076450773127959</v>
      </c>
      <c r="M12" s="11">
        <f t="shared" si="1"/>
        <v>0</v>
      </c>
      <c r="N12" s="11">
        <f t="shared" si="1"/>
        <v>48.948620618927393</v>
      </c>
      <c r="O12" s="11">
        <f t="shared" si="1"/>
        <v>10.23841852972949</v>
      </c>
      <c r="P12" s="11">
        <f t="shared" si="1"/>
        <v>0</v>
      </c>
      <c r="Q12" s="11">
        <f t="shared" si="1"/>
        <v>0</v>
      </c>
      <c r="R12" s="11">
        <f t="shared" si="1"/>
        <v>63.340442332394034</v>
      </c>
      <c r="S12" s="11">
        <f t="shared" si="1"/>
        <v>61.652498653321111</v>
      </c>
      <c r="T12" s="11">
        <f t="shared" si="1"/>
        <v>51.239160643977307</v>
      </c>
      <c r="U12" s="11">
        <f t="shared" si="1"/>
        <v>0</v>
      </c>
      <c r="V12" s="11">
        <f t="shared" si="1"/>
        <v>64.207028845787448</v>
      </c>
      <c r="W12" s="8" t="s">
        <v>175</v>
      </c>
    </row>
    <row r="13" spans="1:23">
      <c r="A13" t="s">
        <v>176</v>
      </c>
      <c r="B13" s="11">
        <f t="shared" ref="B13:V13" si="2">IFERROR(B10/B7*91.25,0)</f>
        <v>0</v>
      </c>
      <c r="C13" s="11">
        <f t="shared" si="2"/>
        <v>0</v>
      </c>
      <c r="D13" s="11">
        <f t="shared" si="2"/>
        <v>0</v>
      </c>
      <c r="E13" s="11">
        <f t="shared" si="2"/>
        <v>0</v>
      </c>
      <c r="F13" s="11">
        <f t="shared" si="2"/>
        <v>0</v>
      </c>
      <c r="G13" s="11">
        <f t="shared" si="2"/>
        <v>0</v>
      </c>
      <c r="H13" s="11">
        <f t="shared" si="2"/>
        <v>0</v>
      </c>
      <c r="I13" s="11">
        <f t="shared" si="2"/>
        <v>0</v>
      </c>
      <c r="J13" s="11">
        <f t="shared" si="2"/>
        <v>0</v>
      </c>
      <c r="K13" s="11">
        <f t="shared" si="2"/>
        <v>0</v>
      </c>
      <c r="L13" s="11">
        <f t="shared" si="2"/>
        <v>0</v>
      </c>
      <c r="M13" s="11">
        <f t="shared" si="2"/>
        <v>0</v>
      </c>
      <c r="N13" s="11">
        <f t="shared" si="2"/>
        <v>0</v>
      </c>
      <c r="O13" s="11">
        <f t="shared" si="2"/>
        <v>0</v>
      </c>
      <c r="P13" s="11">
        <f t="shared" si="2"/>
        <v>0</v>
      </c>
      <c r="Q13" s="11">
        <f t="shared" si="2"/>
        <v>0</v>
      </c>
      <c r="R13" s="11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8" t="s">
        <v>177</v>
      </c>
    </row>
    <row r="14" spans="1:23">
      <c r="A14" s="6" t="s">
        <v>178</v>
      </c>
      <c r="B14" s="12">
        <f t="shared" ref="B14:V14" si="3">B11+B12-B13</f>
        <v>149.60543931532413</v>
      </c>
      <c r="C14" s="12">
        <f t="shared" si="3"/>
        <v>154.33288634716939</v>
      </c>
      <c r="D14" s="12">
        <f t="shared" si="3"/>
        <v>125.41341267637495</v>
      </c>
      <c r="E14" s="12">
        <f t="shared" si="3"/>
        <v>0</v>
      </c>
      <c r="F14" s="12">
        <f t="shared" si="3"/>
        <v>57.574422002605381</v>
      </c>
      <c r="G14" s="12">
        <f t="shared" si="3"/>
        <v>137.06418369983342</v>
      </c>
      <c r="H14" s="12">
        <f t="shared" si="3"/>
        <v>0</v>
      </c>
      <c r="I14" s="12">
        <f t="shared" si="3"/>
        <v>0</v>
      </c>
      <c r="J14" s="12">
        <f t="shared" si="3"/>
        <v>53.310954134600685</v>
      </c>
      <c r="K14" s="12">
        <f t="shared" si="3"/>
        <v>105.00535866370294</v>
      </c>
      <c r="L14" s="12">
        <f t="shared" si="3"/>
        <v>85.116734066687613</v>
      </c>
      <c r="M14" s="12">
        <f t="shared" si="3"/>
        <v>0</v>
      </c>
      <c r="N14" s="12">
        <f t="shared" si="3"/>
        <v>107.09653483837698</v>
      </c>
      <c r="O14" s="12">
        <f t="shared" si="3"/>
        <v>252.50431944736576</v>
      </c>
      <c r="P14" s="12">
        <f t="shared" si="3"/>
        <v>49.772420718364621</v>
      </c>
      <c r="Q14" s="12">
        <f t="shared" si="3"/>
        <v>0</v>
      </c>
      <c r="R14" s="12">
        <f t="shared" si="3"/>
        <v>63.340442332394034</v>
      </c>
      <c r="S14" s="12">
        <f t="shared" si="3"/>
        <v>148.67540616587709</v>
      </c>
      <c r="T14" s="12">
        <f t="shared" si="3"/>
        <v>99.142747389339164</v>
      </c>
      <c r="U14" s="12">
        <f t="shared" si="3"/>
        <v>0</v>
      </c>
      <c r="V14" s="12">
        <f t="shared" si="3"/>
        <v>120.53721165071457</v>
      </c>
      <c r="W14" s="9" t="s">
        <v>179</v>
      </c>
    </row>
    <row r="15" spans="1:23" ht="23.4">
      <c r="A15" t="s">
        <v>180</v>
      </c>
      <c r="B15" s="5">
        <f>'Balance Sheet'!B33+'Balance Sheet'!B34+'Balance Sheet'!B27</f>
        <v>893781783</v>
      </c>
      <c r="C15" s="5">
        <f>'Balance Sheet'!C33+'Balance Sheet'!C34+'Balance Sheet'!C27</f>
        <v>1079329424</v>
      </c>
      <c r="D15" s="5">
        <f>'Balance Sheet'!D33+'Balance Sheet'!D34+'Balance Sheet'!D27</f>
        <v>1143833077</v>
      </c>
      <c r="E15" s="5">
        <f>'Balance Sheet'!E33+'Balance Sheet'!E34+'Balance Sheet'!E27</f>
        <v>1009448556</v>
      </c>
      <c r="F15" s="5">
        <f>'Balance Sheet'!F33+'Balance Sheet'!F34+'Balance Sheet'!F27</f>
        <v>1018839703</v>
      </c>
      <c r="G15" s="5">
        <f>'Balance Sheet'!G33+'Balance Sheet'!G34+'Balance Sheet'!G27</f>
        <v>1263765727</v>
      </c>
      <c r="H15" s="5">
        <f>'Balance Sheet'!H33+'Balance Sheet'!H34+'Balance Sheet'!H27</f>
        <v>1269605117</v>
      </c>
      <c r="I15" s="5">
        <f>'Balance Sheet'!I33+'Balance Sheet'!I34+'Balance Sheet'!I27</f>
        <v>1247679118</v>
      </c>
      <c r="J15" s="5">
        <f>'Balance Sheet'!J33+'Balance Sheet'!J34+'Balance Sheet'!J27</f>
        <v>0</v>
      </c>
      <c r="K15" s="5">
        <f>'Balance Sheet'!K33+'Balance Sheet'!K34+'Balance Sheet'!K27</f>
        <v>0</v>
      </c>
      <c r="L15" s="5">
        <f>'Balance Sheet'!L33+'Balance Sheet'!L34+'Balance Sheet'!L27</f>
        <v>1306364225</v>
      </c>
      <c r="M15" s="5">
        <f>'Balance Sheet'!M33+'Balance Sheet'!M34+'Balance Sheet'!M27</f>
        <v>1428305997</v>
      </c>
      <c r="N15" s="5">
        <f>'Balance Sheet'!N33+'Balance Sheet'!N34+'Balance Sheet'!N27</f>
        <v>1963644605</v>
      </c>
      <c r="O15" s="5">
        <f>'Balance Sheet'!O33+'Balance Sheet'!O34+'Balance Sheet'!O27</f>
        <v>74254763</v>
      </c>
      <c r="P15" s="5">
        <f>'Balance Sheet'!P33+'Balance Sheet'!P34+'Balance Sheet'!P27</f>
        <v>4873122141</v>
      </c>
      <c r="Q15" s="5">
        <f>'Balance Sheet'!Q33+'Balance Sheet'!Q34+'Balance Sheet'!Q27</f>
        <v>2139659123</v>
      </c>
      <c r="R15" s="5">
        <f>'Balance Sheet'!R33+'Balance Sheet'!R34+'Balance Sheet'!R27</f>
        <v>2661368780</v>
      </c>
      <c r="S15" s="5">
        <f>'Balance Sheet'!S33+'Balance Sheet'!S34+'Balance Sheet'!S27</f>
        <v>2481477202</v>
      </c>
      <c r="T15" s="5">
        <f>'Balance Sheet'!T33+'Balance Sheet'!T34+'Balance Sheet'!T27</f>
        <v>1769575894</v>
      </c>
      <c r="U15" s="5">
        <f>'Balance Sheet'!U33+'Balance Sheet'!U34+'Balance Sheet'!U27</f>
        <v>2342392848</v>
      </c>
      <c r="V15" s="5">
        <f>'Balance Sheet'!V33+'Balance Sheet'!V34+'Balance Sheet'!V27</f>
        <v>2147158512</v>
      </c>
      <c r="W15" s="8" t="s">
        <v>181</v>
      </c>
    </row>
    <row r="16" spans="1:23">
      <c r="A16" t="s">
        <v>182</v>
      </c>
      <c r="B16" s="5">
        <f>'Balance Sheet'!B15</f>
        <v>125038404</v>
      </c>
      <c r="C16" s="5">
        <f>'Balance Sheet'!C15</f>
        <v>128075432</v>
      </c>
      <c r="D16" s="5">
        <f>'Balance Sheet'!D15</f>
        <v>132770425</v>
      </c>
      <c r="E16" s="5">
        <f>'Balance Sheet'!E15</f>
        <v>163942106</v>
      </c>
      <c r="F16" s="5">
        <f>'Balance Sheet'!F15</f>
        <v>177666199</v>
      </c>
      <c r="G16" s="5">
        <f>'Balance Sheet'!G15</f>
        <v>205680242</v>
      </c>
      <c r="H16" s="5">
        <f>'Balance Sheet'!H15</f>
        <v>264146556</v>
      </c>
      <c r="I16" s="5">
        <f>'Balance Sheet'!I15</f>
        <v>440158488</v>
      </c>
      <c r="J16" s="5">
        <f>'Balance Sheet'!J15</f>
        <v>381407058</v>
      </c>
      <c r="K16" s="5">
        <f>'Balance Sheet'!K15</f>
        <v>219936811</v>
      </c>
      <c r="L16" s="5">
        <f>'Balance Sheet'!L15</f>
        <v>542098898</v>
      </c>
      <c r="M16" s="5">
        <f>'Balance Sheet'!M15</f>
        <v>522517539</v>
      </c>
      <c r="N16" s="5">
        <f>'Balance Sheet'!N15</f>
        <v>279255117</v>
      </c>
      <c r="O16" s="5">
        <f>'Balance Sheet'!O15</f>
        <v>474252647</v>
      </c>
      <c r="P16" s="5">
        <f>'Balance Sheet'!P15</f>
        <v>520423136</v>
      </c>
      <c r="Q16" s="5">
        <f>'Balance Sheet'!Q15</f>
        <v>595006347</v>
      </c>
      <c r="R16" s="5">
        <f>'Balance Sheet'!R15</f>
        <v>521552628</v>
      </c>
      <c r="S16" s="5">
        <f>'Balance Sheet'!S15</f>
        <v>271483760</v>
      </c>
      <c r="T16" s="5">
        <f>'Balance Sheet'!T15</f>
        <v>174356463</v>
      </c>
      <c r="U16" s="5">
        <f>'Balance Sheet'!U15</f>
        <v>618922303</v>
      </c>
      <c r="V16" s="5">
        <f>'Balance Sheet'!V15</f>
        <v>319665548</v>
      </c>
      <c r="W16" s="8" t="s">
        <v>183</v>
      </c>
    </row>
    <row r="17" spans="1:23">
      <c r="A17" s="6" t="s">
        <v>129</v>
      </c>
      <c r="B17" s="13">
        <f t="shared" ref="B17:V17" si="4">B15-B16</f>
        <v>768743379</v>
      </c>
      <c r="C17" s="13">
        <f t="shared" si="4"/>
        <v>951253992</v>
      </c>
      <c r="D17" s="13">
        <f t="shared" si="4"/>
        <v>1011062652</v>
      </c>
      <c r="E17" s="13">
        <f t="shared" si="4"/>
        <v>845506450</v>
      </c>
      <c r="F17" s="13">
        <f t="shared" si="4"/>
        <v>841173504</v>
      </c>
      <c r="G17" s="13">
        <f t="shared" si="4"/>
        <v>1058085485</v>
      </c>
      <c r="H17" s="13">
        <f t="shared" si="4"/>
        <v>1005458561</v>
      </c>
      <c r="I17" s="13">
        <f t="shared" si="4"/>
        <v>807520630</v>
      </c>
      <c r="J17" s="13">
        <f t="shared" si="4"/>
        <v>-381407058</v>
      </c>
      <c r="K17" s="13">
        <f t="shared" si="4"/>
        <v>-219936811</v>
      </c>
      <c r="L17" s="13">
        <f t="shared" si="4"/>
        <v>764265327</v>
      </c>
      <c r="M17" s="13">
        <f t="shared" si="4"/>
        <v>905788458</v>
      </c>
      <c r="N17" s="13">
        <f t="shared" si="4"/>
        <v>1684389488</v>
      </c>
      <c r="O17" s="13">
        <f t="shared" si="4"/>
        <v>-399997884</v>
      </c>
      <c r="P17" s="13">
        <f t="shared" si="4"/>
        <v>4352699005</v>
      </c>
      <c r="Q17" s="13">
        <f t="shared" si="4"/>
        <v>1544652776</v>
      </c>
      <c r="R17" s="13">
        <f t="shared" si="4"/>
        <v>2139816152</v>
      </c>
      <c r="S17" s="13">
        <f t="shared" si="4"/>
        <v>2209993442</v>
      </c>
      <c r="T17" s="13">
        <f t="shared" si="4"/>
        <v>1595219431</v>
      </c>
      <c r="U17" s="13">
        <f t="shared" si="4"/>
        <v>1723470545</v>
      </c>
      <c r="V17" s="13">
        <f t="shared" si="4"/>
        <v>1827492964</v>
      </c>
      <c r="W17" s="9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3"/>
  <sheetViews>
    <sheetView topLeftCell="M1" workbookViewId="0"/>
  </sheetViews>
  <sheetFormatPr defaultRowHeight="13.8"/>
  <cols>
    <col min="1" max="1" width="34" customWidth="1"/>
    <col min="2" max="22" width="13" customWidth="1"/>
    <col min="23" max="23" width="28" customWidth="1"/>
  </cols>
  <sheetData>
    <row r="1" spans="1:23" ht="31.2">
      <c r="A1" s="19" t="s">
        <v>185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"/>
    </row>
    <row r="2" spans="1:23">
      <c r="A2" s="3" t="s">
        <v>87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186</v>
      </c>
    </row>
    <row r="3" spans="1:23">
      <c r="A3" s="4" t="s">
        <v>88</v>
      </c>
      <c r="B3" s="4" t="s">
        <v>89</v>
      </c>
      <c r="C3" s="4" t="s">
        <v>89</v>
      </c>
      <c r="D3" s="4" t="s">
        <v>89</v>
      </c>
      <c r="E3" s="4" t="s">
        <v>89</v>
      </c>
      <c r="F3" s="4" t="s">
        <v>89</v>
      </c>
      <c r="G3" s="4" t="s">
        <v>89</v>
      </c>
      <c r="H3" s="4" t="s">
        <v>89</v>
      </c>
      <c r="I3" s="4" t="s">
        <v>89</v>
      </c>
      <c r="J3" s="4" t="s">
        <v>89</v>
      </c>
      <c r="K3" s="4" t="s">
        <v>89</v>
      </c>
      <c r="L3" s="4" t="s">
        <v>89</v>
      </c>
      <c r="M3" s="4" t="s">
        <v>89</v>
      </c>
      <c r="N3" s="4" t="s">
        <v>89</v>
      </c>
      <c r="O3" s="4" t="s">
        <v>89</v>
      </c>
      <c r="P3" s="4" t="s">
        <v>89</v>
      </c>
      <c r="Q3" s="4" t="s">
        <v>89</v>
      </c>
      <c r="R3" s="4" t="s">
        <v>89</v>
      </c>
      <c r="S3" s="4" t="s">
        <v>89</v>
      </c>
      <c r="T3" s="4" t="s">
        <v>89</v>
      </c>
      <c r="U3" s="4" t="s">
        <v>89</v>
      </c>
      <c r="V3" s="4" t="s">
        <v>90</v>
      </c>
      <c r="W3" s="4"/>
    </row>
    <row r="4" spans="1:23" ht="23.4">
      <c r="A4" s="4" t="s">
        <v>131</v>
      </c>
      <c r="B4" s="4" t="s">
        <v>132</v>
      </c>
      <c r="C4" s="4" t="s">
        <v>133</v>
      </c>
      <c r="D4" s="4" t="s">
        <v>134</v>
      </c>
      <c r="E4" s="4" t="s">
        <v>135</v>
      </c>
      <c r="F4" s="4" t="s">
        <v>136</v>
      </c>
      <c r="G4" s="4" t="s">
        <v>137</v>
      </c>
      <c r="H4" s="4" t="s">
        <v>138</v>
      </c>
      <c r="I4" s="4" t="s">
        <v>139</v>
      </c>
      <c r="J4" s="4" t="s">
        <v>140</v>
      </c>
      <c r="K4" s="4" t="s">
        <v>141</v>
      </c>
      <c r="L4" s="4" t="s">
        <v>142</v>
      </c>
      <c r="M4" s="4" t="s">
        <v>143</v>
      </c>
      <c r="N4" s="4" t="s">
        <v>144</v>
      </c>
      <c r="O4" s="4" t="s">
        <v>145</v>
      </c>
      <c r="P4" s="4" t="s">
        <v>146</v>
      </c>
      <c r="Q4" s="4" t="s">
        <v>147</v>
      </c>
      <c r="R4" s="4" t="s">
        <v>148</v>
      </c>
      <c r="S4" s="4" t="s">
        <v>149</v>
      </c>
      <c r="T4" s="4" t="s">
        <v>150</v>
      </c>
      <c r="U4" s="4" t="s">
        <v>151</v>
      </c>
      <c r="V4" s="4" t="s">
        <v>152</v>
      </c>
      <c r="W4" s="4"/>
    </row>
    <row r="5" spans="1:23">
      <c r="A5" s="4" t="s">
        <v>91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103</v>
      </c>
      <c r="N5" s="4" t="s">
        <v>104</v>
      </c>
      <c r="O5" s="4" t="s">
        <v>105</v>
      </c>
      <c r="P5" s="4" t="s">
        <v>106</v>
      </c>
      <c r="Q5" s="4" t="s">
        <v>107</v>
      </c>
      <c r="R5" s="4" t="s">
        <v>108</v>
      </c>
      <c r="S5" s="4" t="s">
        <v>109</v>
      </c>
      <c r="T5" s="4" t="s">
        <v>110</v>
      </c>
      <c r="U5" s="4" t="s">
        <v>111</v>
      </c>
      <c r="V5" s="4" t="s">
        <v>112</v>
      </c>
      <c r="W5" s="4"/>
    </row>
    <row r="6" spans="1:23">
      <c r="A6" t="s">
        <v>187</v>
      </c>
      <c r="B6" s="5">
        <f>'Income Statement'!B4-('Income Statement'!B2+'Income Statement'!B3)</f>
        <v>0</v>
      </c>
      <c r="C6" s="5">
        <f>'Income Statement'!C4-('Income Statement'!C2+'Income Statement'!C3)</f>
        <v>0</v>
      </c>
      <c r="D6" s="5">
        <f>'Income Statement'!D4-('Income Statement'!D2+'Income Statement'!D3)</f>
        <v>0</v>
      </c>
      <c r="E6" s="5" t="e">
        <f>'Income Statement'!#REF!-('Income Statement'!#REF!+'Income Statement'!#REF!)</f>
        <v>#REF!</v>
      </c>
      <c r="F6" s="5">
        <f>'Income Statement'!F4-('Income Statement'!F2+'Income Statement'!F3)</f>
        <v>0</v>
      </c>
      <c r="G6" s="5">
        <f>'Income Statement'!G4-('Income Statement'!G2+'Income Statement'!G3)</f>
        <v>0</v>
      </c>
      <c r="H6" s="5">
        <f>'Income Statement'!H4-('Income Statement'!H2+'Income Statement'!H3)</f>
        <v>0</v>
      </c>
      <c r="I6" s="5" t="e">
        <f>'Income Statement'!#REF!-('Income Statement'!#REF!+'Income Statement'!#REF!)</f>
        <v>#REF!</v>
      </c>
      <c r="J6" s="5">
        <f>'Income Statement'!J4-('Income Statement'!J2+'Income Statement'!J3)</f>
        <v>0</v>
      </c>
      <c r="K6" s="5">
        <f>'Income Statement'!K4-('Income Statement'!K2+'Income Statement'!K3)</f>
        <v>0</v>
      </c>
      <c r="L6" s="5">
        <f>'Income Statement'!L4-('Income Statement'!L2+'Income Statement'!L3)</f>
        <v>0</v>
      </c>
      <c r="M6" s="5" t="e">
        <f>'Income Statement'!#REF!-('Income Statement'!#REF!+'Income Statement'!#REF!)</f>
        <v>#REF!</v>
      </c>
      <c r="N6" s="5">
        <f>'Income Statement'!N4-('Income Statement'!N2+'Income Statement'!N3)</f>
        <v>0</v>
      </c>
      <c r="O6" s="5">
        <f>'Income Statement'!O4-('Income Statement'!O2+'Income Statement'!O3)</f>
        <v>0</v>
      </c>
      <c r="P6" s="5">
        <f>'Income Statement'!P4-('Income Statement'!P2+'Income Statement'!P3)</f>
        <v>0</v>
      </c>
      <c r="Q6" s="5" t="e">
        <f>'Income Statement'!#REF!-('Income Statement'!#REF!+'Income Statement'!#REF!)</f>
        <v>#REF!</v>
      </c>
      <c r="R6" s="5">
        <f>'Income Statement'!R4-('Income Statement'!R2+'Income Statement'!R3)</f>
        <v>0</v>
      </c>
      <c r="S6" s="5">
        <f>'Income Statement'!S4-('Income Statement'!S2+'Income Statement'!S3)</f>
        <v>0</v>
      </c>
      <c r="T6" s="5">
        <f>'Income Statement'!T4-('Income Statement'!T2+'Income Statement'!T3)</f>
        <v>0</v>
      </c>
      <c r="U6" s="5" t="e">
        <f>'Income Statement'!#REF!-('Income Statement'!#REF!+'Income Statement'!#REF!)</f>
        <v>#REF!</v>
      </c>
      <c r="V6" s="5">
        <f>'Income Statement'!V4-('Income Statement'!V2+'Income Statement'!V3)</f>
        <v>0</v>
      </c>
      <c r="W6" t="s">
        <v>188</v>
      </c>
    </row>
    <row r="7" spans="1:23">
      <c r="A7" t="s">
        <v>189</v>
      </c>
      <c r="B7" s="5">
        <f>'Income Statement'!B15-('Income Statement'!B4+SUM('Income Statement'!B7:B14))</f>
        <v>0</v>
      </c>
      <c r="C7" s="5">
        <f>'Income Statement'!C15-('Income Statement'!C4+SUM('Income Statement'!C7:C14))</f>
        <v>0</v>
      </c>
      <c r="D7" s="5">
        <f>'Income Statement'!D15-('Income Statement'!D4+SUM('Income Statement'!D7:D14))</f>
        <v>0</v>
      </c>
      <c r="E7" s="5" t="e">
        <f>'Income Statement'!#REF!-('Income Statement'!#REF!+SUM('Income Statement'!#REF!))</f>
        <v>#REF!</v>
      </c>
      <c r="F7" s="5">
        <f>'Income Statement'!F15-('Income Statement'!F4+SUM('Income Statement'!F7:F14))</f>
        <v>0</v>
      </c>
      <c r="G7" s="5">
        <f>'Income Statement'!G15-('Income Statement'!G4+SUM('Income Statement'!G7:G14))</f>
        <v>0</v>
      </c>
      <c r="H7" s="5">
        <f>'Income Statement'!H15-('Income Statement'!H4+SUM('Income Statement'!H7:H14))</f>
        <v>0</v>
      </c>
      <c r="I7" s="5" t="e">
        <f>'Income Statement'!#REF!-('Income Statement'!#REF!+SUM('Income Statement'!#REF!))</f>
        <v>#REF!</v>
      </c>
      <c r="J7" s="5">
        <f>'Income Statement'!J15-('Income Statement'!J4+SUM('Income Statement'!J7:J14))</f>
        <v>0</v>
      </c>
      <c r="K7" s="5">
        <f>'Income Statement'!K15-('Income Statement'!K4+SUM('Income Statement'!K7:K14))</f>
        <v>0</v>
      </c>
      <c r="L7" s="5">
        <f>'Income Statement'!L15-('Income Statement'!L4+SUM('Income Statement'!L7:L14))</f>
        <v>0</v>
      </c>
      <c r="M7" s="5" t="e">
        <f>'Income Statement'!#REF!-('Income Statement'!#REF!+SUM('Income Statement'!#REF!))</f>
        <v>#REF!</v>
      </c>
      <c r="N7" s="5">
        <f>'Income Statement'!N15-('Income Statement'!N4+SUM('Income Statement'!N7:N14))</f>
        <v>0</v>
      </c>
      <c r="O7" s="5">
        <f>'Income Statement'!O15-('Income Statement'!O4+SUM('Income Statement'!O7:O14))</f>
        <v>0</v>
      </c>
      <c r="P7" s="5">
        <f>'Income Statement'!P15-('Income Statement'!P4+SUM('Income Statement'!P7:P14))</f>
        <v>0</v>
      </c>
      <c r="Q7" s="5" t="e">
        <f>'Income Statement'!#REF!-('Income Statement'!#REF!+SUM('Income Statement'!#REF!))</f>
        <v>#REF!</v>
      </c>
      <c r="R7" s="5">
        <f>'Income Statement'!R15-('Income Statement'!R4+SUM('Income Statement'!R7:R14))</f>
        <v>0</v>
      </c>
      <c r="S7" s="5">
        <f>'Income Statement'!S15-('Income Statement'!S4+SUM('Income Statement'!S7:S14))</f>
        <v>0</v>
      </c>
      <c r="T7" s="5">
        <f>'Income Statement'!T15-('Income Statement'!T4+SUM('Income Statement'!T7:T14))</f>
        <v>0</v>
      </c>
      <c r="U7" s="5" t="e">
        <f>'Income Statement'!#REF!-('Income Statement'!#REF!+SUM('Income Statement'!#REF!))</f>
        <v>#REF!</v>
      </c>
      <c r="V7" s="5">
        <f>'Income Statement'!V15-('Income Statement'!V4+SUM('Income Statement'!V7:V14))</f>
        <v>0</v>
      </c>
      <c r="W7" t="s">
        <v>188</v>
      </c>
    </row>
    <row r="8" spans="1:23">
      <c r="A8" t="s">
        <v>190</v>
      </c>
      <c r="B8" s="5">
        <f>'Income Statement'!B24-('Income Statement'!B22+'Income Statement'!B23)</f>
        <v>0</v>
      </c>
      <c r="C8" s="5">
        <f>'Income Statement'!C24-('Income Statement'!C22+'Income Statement'!C23)</f>
        <v>0</v>
      </c>
      <c r="D8" s="5">
        <f>'Income Statement'!D24-('Income Statement'!D22+'Income Statement'!D23)</f>
        <v>0</v>
      </c>
      <c r="E8" s="5" t="e">
        <f>'Income Statement'!#REF!-('Income Statement'!#REF!+'Income Statement'!#REF!)</f>
        <v>#REF!</v>
      </c>
      <c r="F8" s="5">
        <f>'Income Statement'!F24-('Income Statement'!F22+'Income Statement'!F23)</f>
        <v>0</v>
      </c>
      <c r="G8" s="5">
        <f>'Income Statement'!G24-('Income Statement'!G22+'Income Statement'!G23)</f>
        <v>0</v>
      </c>
      <c r="H8" s="5">
        <f>'Income Statement'!H24-('Income Statement'!H22+'Income Statement'!H23)</f>
        <v>0</v>
      </c>
      <c r="I8" s="5" t="e">
        <f>'Income Statement'!#REF!-('Income Statement'!#REF!+'Income Statement'!#REF!)</f>
        <v>#REF!</v>
      </c>
      <c r="J8" s="5">
        <f>'Income Statement'!J24-('Income Statement'!J22+'Income Statement'!J23)</f>
        <v>0</v>
      </c>
      <c r="K8" s="5">
        <f>'Income Statement'!K24-('Income Statement'!K22+'Income Statement'!K23)</f>
        <v>0</v>
      </c>
      <c r="L8" s="5">
        <f>'Income Statement'!L24-('Income Statement'!L22+'Income Statement'!L23)</f>
        <v>0</v>
      </c>
      <c r="M8" s="5" t="e">
        <f>'Income Statement'!#REF!-('Income Statement'!#REF!+'Income Statement'!#REF!)</f>
        <v>#REF!</v>
      </c>
      <c r="N8" s="5">
        <f>'Income Statement'!N24-('Income Statement'!N22+'Income Statement'!N23)</f>
        <v>0</v>
      </c>
      <c r="O8" s="5">
        <f>'Income Statement'!O24-('Income Statement'!O22+'Income Statement'!O23)</f>
        <v>0</v>
      </c>
      <c r="P8" s="5">
        <f>'Income Statement'!P24-('Income Statement'!P22+'Income Statement'!P23)</f>
        <v>0</v>
      </c>
      <c r="Q8" s="5" t="e">
        <f>'Income Statement'!#REF!-('Income Statement'!#REF!+'Income Statement'!#REF!)</f>
        <v>#REF!</v>
      </c>
      <c r="R8" s="5">
        <f>'Income Statement'!R24-('Income Statement'!R22+'Income Statement'!R23)</f>
        <v>0</v>
      </c>
      <c r="S8" s="5">
        <f>'Income Statement'!S24-('Income Statement'!S22+'Income Statement'!S23)</f>
        <v>0</v>
      </c>
      <c r="T8" s="5">
        <f>'Income Statement'!T24-('Income Statement'!T22+'Income Statement'!T23)</f>
        <v>0</v>
      </c>
      <c r="U8" s="5" t="e">
        <f>'Income Statement'!#REF!-('Income Statement'!#REF!+'Income Statement'!#REF!)</f>
        <v>#REF!</v>
      </c>
      <c r="V8" s="5">
        <f>'Income Statement'!V24-('Income Statement'!V22+'Income Statement'!V23)</f>
        <v>0</v>
      </c>
      <c r="W8" t="s">
        <v>188</v>
      </c>
    </row>
    <row r="9" spans="1:23">
      <c r="A9" t="s">
        <v>191</v>
      </c>
      <c r="B9" s="5">
        <f>'Income Statement'!B26-('Income Statement'!B24-'Income Statement'!B27)</f>
        <v>0</v>
      </c>
      <c r="C9" s="5">
        <f>'Income Statement'!C26-('Income Statement'!C24-'Income Statement'!C27)</f>
        <v>0</v>
      </c>
      <c r="D9" s="5">
        <f>'Income Statement'!D26-('Income Statement'!D24-'Income Statement'!D27)</f>
        <v>0</v>
      </c>
      <c r="E9" s="5" t="e">
        <f>'Income Statement'!#REF!-('Income Statement'!#REF!-'Income Statement'!#REF!)</f>
        <v>#REF!</v>
      </c>
      <c r="F9" s="5">
        <f>'Income Statement'!F26-('Income Statement'!F24-'Income Statement'!F27)</f>
        <v>0</v>
      </c>
      <c r="G9" s="5">
        <f>'Income Statement'!G26-('Income Statement'!G24-'Income Statement'!G27)</f>
        <v>0</v>
      </c>
      <c r="H9" s="5">
        <f>'Income Statement'!H26-('Income Statement'!H24-'Income Statement'!H27)</f>
        <v>0</v>
      </c>
      <c r="I9" s="5" t="e">
        <f>'Income Statement'!#REF!-('Income Statement'!#REF!-'Income Statement'!#REF!)</f>
        <v>#REF!</v>
      </c>
      <c r="J9" s="5">
        <f>'Income Statement'!J26-('Income Statement'!J24-'Income Statement'!J27)</f>
        <v>0</v>
      </c>
      <c r="K9" s="5">
        <f>'Income Statement'!K26-('Income Statement'!K24-'Income Statement'!K27)</f>
        <v>0</v>
      </c>
      <c r="L9" s="5">
        <f>'Income Statement'!L26-('Income Statement'!L24-'Income Statement'!L27)</f>
        <v>0</v>
      </c>
      <c r="M9" s="5" t="e">
        <f>'Income Statement'!#REF!-('Income Statement'!#REF!-'Income Statement'!#REF!)</f>
        <v>#REF!</v>
      </c>
      <c r="N9" s="5">
        <f>'Income Statement'!N26-('Income Statement'!N24-'Income Statement'!N27)</f>
        <v>0</v>
      </c>
      <c r="O9" s="5">
        <f>'Income Statement'!O26-('Income Statement'!O24-'Income Statement'!O27)</f>
        <v>0</v>
      </c>
      <c r="P9" s="5">
        <f>'Income Statement'!P26-('Income Statement'!P24-'Income Statement'!P27)</f>
        <v>0</v>
      </c>
      <c r="Q9" s="5" t="e">
        <f>'Income Statement'!#REF!-('Income Statement'!#REF!-'Income Statement'!#REF!)</f>
        <v>#REF!</v>
      </c>
      <c r="R9" s="5">
        <f>'Income Statement'!R26-('Income Statement'!R24-'Income Statement'!R27)</f>
        <v>0</v>
      </c>
      <c r="S9" s="5">
        <f>'Income Statement'!S26-('Income Statement'!S24-'Income Statement'!S27)</f>
        <v>0</v>
      </c>
      <c r="T9" s="5">
        <f>'Income Statement'!T26-('Income Statement'!T24-'Income Statement'!T27)</f>
        <v>0</v>
      </c>
      <c r="U9" s="5" t="e">
        <f>'Income Statement'!#REF!-('Income Statement'!#REF!-'Income Statement'!#REF!)</f>
        <v>#REF!</v>
      </c>
      <c r="V9" s="5">
        <f>'Income Statement'!V26-('Income Statement'!V24-'Income Statement'!V27)</f>
        <v>0</v>
      </c>
      <c r="W9" t="s">
        <v>188</v>
      </c>
    </row>
    <row r="10" spans="1:23">
      <c r="A10" t="s">
        <v>192</v>
      </c>
      <c r="B10" s="5">
        <f>'Balance Sheet'!B17-('Balance Sheet'!B9+'Balance Sheet'!B16)</f>
        <v>0</v>
      </c>
      <c r="C10" s="5">
        <f>'Balance Sheet'!C17-('Balance Sheet'!C9+'Balance Sheet'!C16)</f>
        <v>0</v>
      </c>
      <c r="D10" s="5">
        <f>'Balance Sheet'!D17-('Balance Sheet'!D9+'Balance Sheet'!D16)</f>
        <v>0</v>
      </c>
      <c r="E10" s="5">
        <f>'Balance Sheet'!E17-('Balance Sheet'!E9+'Balance Sheet'!E16)</f>
        <v>0</v>
      </c>
      <c r="F10" s="5">
        <f>'Balance Sheet'!F17-('Balance Sheet'!F9+'Balance Sheet'!F16)</f>
        <v>0</v>
      </c>
      <c r="G10" s="5">
        <f>'Balance Sheet'!G17-('Balance Sheet'!G9+'Balance Sheet'!G16)</f>
        <v>0</v>
      </c>
      <c r="H10" s="5">
        <f>'Balance Sheet'!H17-('Balance Sheet'!H9+'Balance Sheet'!H16)</f>
        <v>0</v>
      </c>
      <c r="I10" s="5">
        <f>'Balance Sheet'!I17-('Balance Sheet'!I9+'Balance Sheet'!I16)</f>
        <v>0</v>
      </c>
      <c r="J10" s="5">
        <f>'Balance Sheet'!J17-('Balance Sheet'!J9+'Balance Sheet'!J16)</f>
        <v>0</v>
      </c>
      <c r="K10" s="5">
        <f>'Balance Sheet'!K17-('Balance Sheet'!K9+'Balance Sheet'!K16)</f>
        <v>0</v>
      </c>
      <c r="L10" s="5">
        <f>'Balance Sheet'!L17-('Balance Sheet'!L9+'Balance Sheet'!L16)</f>
        <v>0</v>
      </c>
      <c r="M10" s="5">
        <f>'Balance Sheet'!M17-('Balance Sheet'!M9+'Balance Sheet'!M16)</f>
        <v>0</v>
      </c>
      <c r="N10" s="5">
        <f>'Balance Sheet'!N17-('Balance Sheet'!N9+'Balance Sheet'!N16)</f>
        <v>0</v>
      </c>
      <c r="O10" s="5">
        <f>'Balance Sheet'!O17-('Balance Sheet'!O9+'Balance Sheet'!O16)</f>
        <v>0</v>
      </c>
      <c r="P10" s="5">
        <f>'Balance Sheet'!P17-('Balance Sheet'!P9+'Balance Sheet'!P16)</f>
        <v>0</v>
      </c>
      <c r="Q10" s="5">
        <f>'Balance Sheet'!Q17-('Balance Sheet'!Q9+'Balance Sheet'!Q16)</f>
        <v>0</v>
      </c>
      <c r="R10" s="5">
        <f>'Balance Sheet'!R17-('Balance Sheet'!R9+'Balance Sheet'!R16)</f>
        <v>0</v>
      </c>
      <c r="S10" s="5">
        <f>'Balance Sheet'!S17-('Balance Sheet'!S9+'Balance Sheet'!S16)</f>
        <v>0</v>
      </c>
      <c r="T10" s="5">
        <f>'Balance Sheet'!T17-('Balance Sheet'!T9+'Balance Sheet'!T16)</f>
        <v>0</v>
      </c>
      <c r="U10" s="5">
        <f>'Balance Sheet'!U17-('Balance Sheet'!U9+'Balance Sheet'!U16)</f>
        <v>0</v>
      </c>
      <c r="V10" s="5">
        <f>'Balance Sheet'!V17-('Balance Sheet'!V9+'Balance Sheet'!V16)</f>
        <v>0</v>
      </c>
      <c r="W10" t="s">
        <v>188</v>
      </c>
    </row>
    <row r="11" spans="1:23">
      <c r="A11" t="s">
        <v>193</v>
      </c>
      <c r="B11" s="5">
        <f>'Balance Sheet'!B17-('Balance Sheet'!B25+'Balance Sheet'!B42)</f>
        <v>0</v>
      </c>
      <c r="C11" s="5">
        <f>'Balance Sheet'!C17-('Balance Sheet'!C25+'Balance Sheet'!C42)</f>
        <v>0</v>
      </c>
      <c r="D11" s="5">
        <f>'Balance Sheet'!D17-('Balance Sheet'!D25+'Balance Sheet'!D42)</f>
        <v>0</v>
      </c>
      <c r="E11" s="5">
        <f>'Balance Sheet'!E17-('Balance Sheet'!E25+'Balance Sheet'!E42)</f>
        <v>0</v>
      </c>
      <c r="F11" s="5">
        <f>'Balance Sheet'!F17-('Balance Sheet'!F25+'Balance Sheet'!F42)</f>
        <v>0</v>
      </c>
      <c r="G11" s="5">
        <f>'Balance Sheet'!G17-('Balance Sheet'!G25+'Balance Sheet'!G42)</f>
        <v>0</v>
      </c>
      <c r="H11" s="5">
        <f>'Balance Sheet'!H17-('Balance Sheet'!H25+'Balance Sheet'!H42)</f>
        <v>0</v>
      </c>
      <c r="I11" s="5">
        <f>'Balance Sheet'!I17-('Balance Sheet'!I25+'Balance Sheet'!I42)</f>
        <v>0</v>
      </c>
      <c r="J11" s="5">
        <f>'Balance Sheet'!J17-('Balance Sheet'!J25+'Balance Sheet'!J42)</f>
        <v>0</v>
      </c>
      <c r="K11" s="5">
        <f>'Balance Sheet'!K17-('Balance Sheet'!K25+'Balance Sheet'!K42)</f>
        <v>0</v>
      </c>
      <c r="L11" s="5">
        <f>'Balance Sheet'!L17-('Balance Sheet'!L25+'Balance Sheet'!L42)</f>
        <v>0</v>
      </c>
      <c r="M11" s="5">
        <f>'Balance Sheet'!M17-('Balance Sheet'!M25+'Balance Sheet'!M42)</f>
        <v>0</v>
      </c>
      <c r="N11" s="5">
        <f>'Balance Sheet'!N17-('Balance Sheet'!N25+'Balance Sheet'!N42)</f>
        <v>0</v>
      </c>
      <c r="O11" s="5">
        <f>'Balance Sheet'!O17-('Balance Sheet'!O25+'Balance Sheet'!O42)</f>
        <v>0</v>
      </c>
      <c r="P11" s="5">
        <f>'Balance Sheet'!P17-('Balance Sheet'!P25+'Balance Sheet'!P42)</f>
        <v>0</v>
      </c>
      <c r="Q11" s="5">
        <f>'Balance Sheet'!Q17-('Balance Sheet'!Q25+'Balance Sheet'!Q42)</f>
        <v>0</v>
      </c>
      <c r="R11" s="5">
        <f>'Balance Sheet'!R17-('Balance Sheet'!R25+'Balance Sheet'!R42)</f>
        <v>0</v>
      </c>
      <c r="S11" s="5">
        <f>'Balance Sheet'!S17-('Balance Sheet'!S25+'Balance Sheet'!S42)</f>
        <v>0</v>
      </c>
      <c r="T11" s="5">
        <f>'Balance Sheet'!T17-('Balance Sheet'!T25+'Balance Sheet'!T42)</f>
        <v>0</v>
      </c>
      <c r="U11" s="5">
        <f>'Balance Sheet'!U17-('Balance Sheet'!U25+'Balance Sheet'!U42)</f>
        <v>0</v>
      </c>
      <c r="V11" s="5">
        <f>'Balance Sheet'!V17-('Balance Sheet'!V25+'Balance Sheet'!V42)</f>
        <v>0</v>
      </c>
      <c r="W11" t="s">
        <v>188</v>
      </c>
    </row>
    <row r="12" spans="1:23" ht="14.4">
      <c r="A12" t="s">
        <v>194</v>
      </c>
      <c r="B12" s="23">
        <f>'Cash Flow'!B11</f>
        <v>0</v>
      </c>
      <c r="C12" s="23">
        <f>'Cash Flow'!C11</f>
        <v>0</v>
      </c>
      <c r="D12" s="23">
        <f>'Cash Flow'!D11</f>
        <v>0</v>
      </c>
      <c r="E12" s="23">
        <f>'Cash Flow'!E11</f>
        <v>0</v>
      </c>
      <c r="F12" s="23">
        <f>'Cash Flow'!F11</f>
        <v>0</v>
      </c>
      <c r="G12" s="23">
        <f>'Cash Flow'!G11</f>
        <v>0</v>
      </c>
      <c r="H12" s="23">
        <f>'Cash Flow'!H11</f>
        <v>0</v>
      </c>
      <c r="I12" s="23">
        <f>'Cash Flow'!I11</f>
        <v>0</v>
      </c>
      <c r="J12" s="23">
        <f>'Cash Flow'!J11</f>
        <v>0</v>
      </c>
      <c r="K12" s="23">
        <f>'Cash Flow'!K11</f>
        <v>0</v>
      </c>
      <c r="L12" s="23">
        <f>'Cash Flow'!L11</f>
        <v>0</v>
      </c>
      <c r="M12" s="23">
        <f>'Cash Flow'!M11</f>
        <v>0</v>
      </c>
      <c r="N12" s="23">
        <f>'Cash Flow'!N11</f>
        <v>0</v>
      </c>
      <c r="O12" s="23">
        <f>'Cash Flow'!O11</f>
        <v>0</v>
      </c>
      <c r="P12" s="23">
        <f>'Cash Flow'!P11</f>
        <v>0</v>
      </c>
      <c r="Q12" s="23">
        <f>'Cash Flow'!Q11</f>
        <v>0</v>
      </c>
      <c r="R12" s="23">
        <f>'Cash Flow'!R11</f>
        <v>0</v>
      </c>
      <c r="S12" s="23">
        <f>'Cash Flow'!S11</f>
        <v>0</v>
      </c>
      <c r="T12" s="23">
        <f>'Cash Flow'!T11</f>
        <v>0</v>
      </c>
      <c r="U12" s="23">
        <f>'Cash Flow'!U11</f>
        <v>0</v>
      </c>
      <c r="V12" s="23">
        <f>'Cash Flow'!V11</f>
        <v>0</v>
      </c>
      <c r="W12" t="s">
        <v>195</v>
      </c>
    </row>
    <row r="13" spans="1:23">
      <c r="A13" t="s">
        <v>196</v>
      </c>
      <c r="B13" s="24" t="str">
        <f t="shared" ref="B13:V13" si="0">IF(B3="Separate","Separate FS - not directly comparable","")</f>
        <v/>
      </c>
      <c r="C13" s="24" t="str">
        <f t="shared" si="0"/>
        <v/>
      </c>
      <c r="D13" s="24" t="str">
        <f t="shared" si="0"/>
        <v/>
      </c>
      <c r="E13" s="24" t="str">
        <f t="shared" si="0"/>
        <v/>
      </c>
      <c r="F13" s="24" t="str">
        <f t="shared" si="0"/>
        <v/>
      </c>
      <c r="G13" s="24" t="str">
        <f t="shared" si="0"/>
        <v/>
      </c>
      <c r="H13" s="24" t="str">
        <f t="shared" si="0"/>
        <v/>
      </c>
      <c r="I13" s="24" t="str">
        <f t="shared" si="0"/>
        <v/>
      </c>
      <c r="J13" s="24" t="str">
        <f t="shared" si="0"/>
        <v/>
      </c>
      <c r="K13" s="24" t="str">
        <f t="shared" si="0"/>
        <v/>
      </c>
      <c r="L13" s="24" t="str">
        <f t="shared" si="0"/>
        <v/>
      </c>
      <c r="M13" s="24" t="str">
        <f t="shared" si="0"/>
        <v/>
      </c>
      <c r="N13" s="24" t="str">
        <f t="shared" si="0"/>
        <v/>
      </c>
      <c r="O13" s="24" t="str">
        <f t="shared" si="0"/>
        <v/>
      </c>
      <c r="P13" s="24" t="str">
        <f t="shared" si="0"/>
        <v/>
      </c>
      <c r="Q13" s="24" t="str">
        <f t="shared" si="0"/>
        <v/>
      </c>
      <c r="R13" s="24" t="str">
        <f t="shared" si="0"/>
        <v/>
      </c>
      <c r="S13" s="24" t="str">
        <f t="shared" si="0"/>
        <v/>
      </c>
      <c r="T13" s="24" t="str">
        <f t="shared" si="0"/>
        <v/>
      </c>
      <c r="U13" s="24" t="str">
        <f t="shared" si="0"/>
        <v/>
      </c>
      <c r="V13" s="24" t="str">
        <f t="shared" si="0"/>
        <v>Separate FS - not directly comparable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3.8"/>
  <cols>
    <col min="1" max="1" width="20.3984375" customWidth="1"/>
    <col min="2" max="2" width="116.8984375" customWidth="1"/>
  </cols>
  <sheetData>
    <row r="1" spans="1:2" ht="27.6">
      <c r="A1" s="18" t="s">
        <v>197</v>
      </c>
      <c r="B1" s="18"/>
    </row>
    <row r="2" spans="1:2">
      <c r="A2" s="26" t="s">
        <v>198</v>
      </c>
      <c r="B2" s="2" t="s">
        <v>199</v>
      </c>
    </row>
    <row r="3" spans="1:2">
      <c r="A3" s="26" t="s">
        <v>200</v>
      </c>
      <c r="B3" s="2" t="s">
        <v>201</v>
      </c>
    </row>
    <row r="4" spans="1:2" ht="27.6">
      <c r="A4" s="26" t="s">
        <v>202</v>
      </c>
      <c r="B4" s="2" t="s">
        <v>203</v>
      </c>
    </row>
    <row r="5" spans="1:2">
      <c r="A5" s="26" t="s">
        <v>204</v>
      </c>
      <c r="B5" s="2" t="s">
        <v>205</v>
      </c>
    </row>
    <row r="6" spans="1:2">
      <c r="A6" s="26" t="s">
        <v>206</v>
      </c>
      <c r="B6" s="2" t="s">
        <v>207</v>
      </c>
    </row>
    <row r="7" spans="1:2">
      <c r="A7" s="26" t="s">
        <v>208</v>
      </c>
      <c r="B7" s="2" t="s">
        <v>209</v>
      </c>
    </row>
    <row r="8" spans="1:2">
      <c r="A8" s="26" t="s">
        <v>210</v>
      </c>
      <c r="B8" s="2" t="s">
        <v>211</v>
      </c>
    </row>
    <row r="9" spans="1:2">
      <c r="A9" s="25" t="s">
        <v>212</v>
      </c>
      <c r="B9" t="s">
        <v>213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0"/>
  <sheetViews>
    <sheetView workbookViewId="0"/>
  </sheetViews>
  <sheetFormatPr defaultRowHeight="13.8"/>
  <cols>
    <col min="1" max="1" width="49.59765625" customWidth="1"/>
    <col min="2" max="2" width="9.5" customWidth="1"/>
    <col min="3" max="5" width="10.3984375" customWidth="1"/>
    <col min="6" max="6" width="9.8984375" customWidth="1"/>
    <col min="7" max="22" width="10.3984375" customWidth="1"/>
  </cols>
  <sheetData>
    <row r="1" spans="1:22">
      <c r="A1" s="14" t="s">
        <v>214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>
      <c r="A2" s="15" t="s">
        <v>40</v>
      </c>
      <c r="B2" s="15" t="s">
        <v>1</v>
      </c>
      <c r="C2" s="15" t="s">
        <v>215</v>
      </c>
      <c r="D2" s="15" t="s">
        <v>216</v>
      </c>
      <c r="E2" s="15" t="s">
        <v>217</v>
      </c>
      <c r="F2" s="15" t="s">
        <v>5</v>
      </c>
      <c r="G2" s="15" t="s">
        <v>218</v>
      </c>
      <c r="H2" s="15" t="s">
        <v>219</v>
      </c>
      <c r="I2" s="15" t="s">
        <v>220</v>
      </c>
      <c r="J2" s="15" t="s">
        <v>9</v>
      </c>
      <c r="K2" s="15" t="s">
        <v>221</v>
      </c>
      <c r="L2" s="15" t="s">
        <v>222</v>
      </c>
      <c r="M2" s="15" t="s">
        <v>223</v>
      </c>
      <c r="N2" s="15" t="s">
        <v>13</v>
      </c>
      <c r="O2" s="15" t="s">
        <v>224</v>
      </c>
      <c r="P2" s="15" t="s">
        <v>225</v>
      </c>
      <c r="Q2" s="15" t="s">
        <v>226</v>
      </c>
      <c r="R2" s="15" t="s">
        <v>17</v>
      </c>
      <c r="S2" s="15" t="s">
        <v>227</v>
      </c>
      <c r="T2" s="15" t="s">
        <v>228</v>
      </c>
      <c r="U2" s="15" t="s">
        <v>229</v>
      </c>
      <c r="V2" s="15" t="s">
        <v>21</v>
      </c>
    </row>
    <row r="3" spans="1:22">
      <c r="A3" t="s">
        <v>22</v>
      </c>
      <c r="B3">
        <v>647085002</v>
      </c>
      <c r="C3">
        <v>1317000688</v>
      </c>
      <c r="D3">
        <v>2273091826</v>
      </c>
      <c r="E3">
        <v>3360510105</v>
      </c>
      <c r="F3">
        <v>1121684905</v>
      </c>
      <c r="G3">
        <v>2273606842</v>
      </c>
      <c r="H3">
        <v>3892391755</v>
      </c>
      <c r="I3">
        <v>5217873446</v>
      </c>
      <c r="J3">
        <v>1747362702</v>
      </c>
      <c r="K3">
        <v>3320784705</v>
      </c>
      <c r="L3">
        <v>5321943359</v>
      </c>
      <c r="M3">
        <v>7504449870</v>
      </c>
      <c r="N3">
        <v>2282168947</v>
      </c>
      <c r="O3">
        <v>4346563682</v>
      </c>
      <c r="P3">
        <v>6890455555</v>
      </c>
      <c r="Q3">
        <v>9225973753</v>
      </c>
      <c r="R3">
        <v>2251517916</v>
      </c>
      <c r="S3">
        <v>4255523857</v>
      </c>
      <c r="T3">
        <v>6978394103</v>
      </c>
      <c r="U3">
        <v>9390408399</v>
      </c>
      <c r="V3">
        <v>2559035323</v>
      </c>
    </row>
    <row r="4" spans="1:22">
      <c r="A4" t="s">
        <v>23</v>
      </c>
      <c r="B4">
        <v>-514371833</v>
      </c>
      <c r="C4">
        <v>-1044120527</v>
      </c>
      <c r="D4">
        <v>-1777388255</v>
      </c>
      <c r="E4">
        <v>-2607430561</v>
      </c>
      <c r="F4">
        <v>-852271975</v>
      </c>
      <c r="G4">
        <v>-1720406416</v>
      </c>
      <c r="H4">
        <v>-2738162414</v>
      </c>
      <c r="I4">
        <v>-3946629934</v>
      </c>
      <c r="J4">
        <v>0</v>
      </c>
      <c r="K4">
        <v>0</v>
      </c>
      <c r="L4">
        <v>-4022489064</v>
      </c>
      <c r="M4">
        <v>-5924735252</v>
      </c>
      <c r="N4">
        <v>-1788008019</v>
      </c>
      <c r="O4">
        <v>-3360332983</v>
      </c>
      <c r="P4">
        <v>-5291518708</v>
      </c>
      <c r="Q4">
        <v>-7088537043</v>
      </c>
      <c r="R4">
        <v>-1743543118</v>
      </c>
      <c r="S4">
        <v>-3279931668</v>
      </c>
      <c r="T4">
        <v>-5337255399</v>
      </c>
      <c r="U4">
        <v>-7117314586</v>
      </c>
      <c r="V4">
        <v>-1935278800</v>
      </c>
    </row>
    <row r="5" spans="1:22">
      <c r="A5" t="s">
        <v>24</v>
      </c>
      <c r="B5">
        <v>-120289255</v>
      </c>
      <c r="C5">
        <v>-255923758</v>
      </c>
      <c r="D5">
        <v>-400959630</v>
      </c>
      <c r="E5">
        <v>-567724875</v>
      </c>
      <c r="F5">
        <v>-162744974</v>
      </c>
      <c r="G5">
        <v>-342713767</v>
      </c>
      <c r="H5">
        <v>-631330239</v>
      </c>
      <c r="I5">
        <v>-757285465</v>
      </c>
      <c r="J5">
        <v>-209420407</v>
      </c>
      <c r="K5">
        <v>-439902519</v>
      </c>
      <c r="L5">
        <v>-671915834</v>
      </c>
      <c r="M5">
        <v>-735282187</v>
      </c>
      <c r="N5">
        <v>-242606070</v>
      </c>
      <c r="O5">
        <v>-474674043</v>
      </c>
      <c r="P5">
        <v>-743242043</v>
      </c>
      <c r="Q5">
        <v>-1041676607</v>
      </c>
      <c r="R5">
        <v>-247909481</v>
      </c>
      <c r="S5">
        <v>-649258323</v>
      </c>
      <c r="T5">
        <v>-1063884558</v>
      </c>
      <c r="U5">
        <v>-1519808697</v>
      </c>
      <c r="V5">
        <v>-405466627</v>
      </c>
    </row>
    <row r="6" spans="1:22">
      <c r="A6" t="s">
        <v>25</v>
      </c>
      <c r="B6">
        <v>-12881777</v>
      </c>
      <c r="C6">
        <v>-26379464</v>
      </c>
      <c r="D6">
        <v>-39858954</v>
      </c>
      <c r="E6">
        <v>-58663628</v>
      </c>
      <c r="F6">
        <v>-18098216</v>
      </c>
      <c r="G6">
        <v>-4898401</v>
      </c>
      <c r="H6">
        <v>-66755935</v>
      </c>
      <c r="I6">
        <v>-84828829</v>
      </c>
      <c r="J6">
        <v>-18097113</v>
      </c>
      <c r="K6">
        <v>-36706760</v>
      </c>
      <c r="L6">
        <v>-55752060</v>
      </c>
      <c r="M6">
        <v>-78055261</v>
      </c>
      <c r="N6">
        <v>-21322676</v>
      </c>
      <c r="O6">
        <v>-44413714</v>
      </c>
      <c r="P6">
        <v>-66963272</v>
      </c>
      <c r="Q6">
        <v>-94821984</v>
      </c>
      <c r="R6">
        <v>-31325968</v>
      </c>
      <c r="S6">
        <v>-65270988</v>
      </c>
      <c r="T6">
        <v>-99685740</v>
      </c>
      <c r="U6">
        <v>-138653485</v>
      </c>
      <c r="V6">
        <v>-27901748</v>
      </c>
    </row>
    <row r="7" spans="1:22">
      <c r="A7" t="s">
        <v>26</v>
      </c>
      <c r="B7">
        <v>10286699</v>
      </c>
      <c r="C7">
        <v>12983480</v>
      </c>
      <c r="D7">
        <v>23366352</v>
      </c>
      <c r="E7">
        <v>36381144</v>
      </c>
      <c r="F7">
        <v>10496024</v>
      </c>
      <c r="G7">
        <v>26286846</v>
      </c>
      <c r="H7">
        <v>44199746</v>
      </c>
      <c r="I7">
        <v>53291312</v>
      </c>
      <c r="J7">
        <v>13877478</v>
      </c>
      <c r="K7">
        <v>41956947</v>
      </c>
      <c r="L7">
        <v>80133616</v>
      </c>
      <c r="M7">
        <v>111806371</v>
      </c>
      <c r="N7">
        <v>17126026</v>
      </c>
      <c r="O7">
        <v>39657733</v>
      </c>
      <c r="P7">
        <v>70335374</v>
      </c>
      <c r="Q7">
        <v>87478389</v>
      </c>
      <c r="R7">
        <v>32038633</v>
      </c>
      <c r="S7">
        <v>60335374</v>
      </c>
      <c r="T7">
        <v>93436278</v>
      </c>
      <c r="U7">
        <v>123022906</v>
      </c>
      <c r="V7">
        <v>49369500</v>
      </c>
    </row>
    <row r="8" spans="1:22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-653158</v>
      </c>
      <c r="N8">
        <v>0</v>
      </c>
      <c r="O8">
        <v>0</v>
      </c>
      <c r="P8">
        <v>0</v>
      </c>
      <c r="Q8">
        <v>-32614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5969392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22212609</v>
      </c>
      <c r="V9">
        <v>0</v>
      </c>
    </row>
    <row r="10" spans="1:22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-958044</v>
      </c>
      <c r="V10">
        <v>0</v>
      </c>
    </row>
    <row r="11" spans="1:22">
      <c r="A11" t="s">
        <v>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-42528993</v>
      </c>
      <c r="N11">
        <v>0</v>
      </c>
      <c r="O11">
        <v>0</v>
      </c>
      <c r="P11">
        <v>0</v>
      </c>
      <c r="Q11">
        <v>-36334577</v>
      </c>
      <c r="R11">
        <v>0</v>
      </c>
      <c r="S11">
        <v>0</v>
      </c>
      <c r="T11">
        <v>0</v>
      </c>
      <c r="U11">
        <v>-14836690</v>
      </c>
      <c r="V11">
        <v>-5710130</v>
      </c>
    </row>
    <row r="12" spans="1:22">
      <c r="A12" t="s">
        <v>31</v>
      </c>
      <c r="B12">
        <v>-346949</v>
      </c>
      <c r="C12">
        <v>-304779</v>
      </c>
      <c r="D12">
        <v>-458379</v>
      </c>
      <c r="E12">
        <v>-223856</v>
      </c>
      <c r="F12">
        <v>-552700</v>
      </c>
      <c r="G12">
        <v>-31065400</v>
      </c>
      <c r="H12">
        <v>-201718100</v>
      </c>
      <c r="I12">
        <v>-18556602</v>
      </c>
      <c r="J12">
        <v>-1294965696</v>
      </c>
      <c r="K12">
        <v>-2460246185</v>
      </c>
      <c r="L12">
        <v>-19477173</v>
      </c>
      <c r="M12">
        <v>0</v>
      </c>
      <c r="N12">
        <v>-10992862</v>
      </c>
      <c r="O12">
        <v>-18762039</v>
      </c>
      <c r="P12">
        <v>-28837120</v>
      </c>
      <c r="Q12">
        <v>0</v>
      </c>
      <c r="R12">
        <v>-102721579</v>
      </c>
      <c r="S12">
        <v>-3463611</v>
      </c>
      <c r="T12">
        <v>10416522</v>
      </c>
      <c r="U12">
        <v>0</v>
      </c>
      <c r="V12">
        <v>-8</v>
      </c>
    </row>
    <row r="13" spans="1:22">
      <c r="A13" t="s">
        <v>32</v>
      </c>
      <c r="B13">
        <v>8152414</v>
      </c>
      <c r="C13">
        <v>17352632</v>
      </c>
      <c r="D13">
        <v>27145068</v>
      </c>
      <c r="E13">
        <v>37149780</v>
      </c>
      <c r="F13">
        <v>8415675</v>
      </c>
      <c r="G13">
        <v>14862643</v>
      </c>
      <c r="H13">
        <v>24461326</v>
      </c>
      <c r="I13">
        <v>39048252</v>
      </c>
      <c r="J13">
        <v>23181914</v>
      </c>
      <c r="K13">
        <v>41605887</v>
      </c>
      <c r="L13">
        <v>53567241</v>
      </c>
      <c r="M13">
        <v>61386227</v>
      </c>
      <c r="N13">
        <v>20777958</v>
      </c>
      <c r="O13">
        <v>33901030</v>
      </c>
      <c r="P13">
        <v>43323661</v>
      </c>
      <c r="Q13">
        <v>53238934</v>
      </c>
      <c r="R13">
        <v>10451435</v>
      </c>
      <c r="S13">
        <v>16156636</v>
      </c>
      <c r="T13">
        <v>16156636</v>
      </c>
      <c r="U13">
        <v>17405944</v>
      </c>
      <c r="V13">
        <v>2846843</v>
      </c>
    </row>
    <row r="14" spans="1:22">
      <c r="A14" t="s">
        <v>33</v>
      </c>
      <c r="B14">
        <v>-19487746</v>
      </c>
      <c r="C14">
        <v>-45003991</v>
      </c>
      <c r="D14">
        <v>-72242579</v>
      </c>
      <c r="E14">
        <v>-96881665</v>
      </c>
      <c r="F14">
        <v>-36058562</v>
      </c>
      <c r="G14">
        <v>-63431281</v>
      </c>
      <c r="H14">
        <v>-95701972</v>
      </c>
      <c r="I14">
        <v>-120983886</v>
      </c>
      <c r="J14">
        <v>-60788910</v>
      </c>
      <c r="K14">
        <v>-130364450</v>
      </c>
      <c r="L14">
        <v>-207813547</v>
      </c>
      <c r="M14">
        <v>-284546991</v>
      </c>
      <c r="N14">
        <v>-50398834</v>
      </c>
      <c r="O14">
        <v>-192726771</v>
      </c>
      <c r="P14">
        <v>-318278487</v>
      </c>
      <c r="Q14">
        <v>-419970876</v>
      </c>
      <c r="R14">
        <v>-145907163</v>
      </c>
      <c r="S14">
        <v>-296489820</v>
      </c>
      <c r="T14">
        <v>-417477347</v>
      </c>
      <c r="U14">
        <v>-511205682</v>
      </c>
      <c r="V14">
        <v>-134215084</v>
      </c>
    </row>
    <row r="15" spans="1:22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-152241066</v>
      </c>
      <c r="H15">
        <v>-227384167</v>
      </c>
      <c r="I15">
        <v>-17876887</v>
      </c>
      <c r="J15">
        <v>100000000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50800000</v>
      </c>
      <c r="S15">
        <v>0</v>
      </c>
      <c r="T15">
        <v>0</v>
      </c>
      <c r="U15">
        <v>0</v>
      </c>
      <c r="V15">
        <v>0</v>
      </c>
    </row>
    <row r="16" spans="1:22">
      <c r="A16" t="s">
        <v>35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-19996861</v>
      </c>
      <c r="N16">
        <v>0</v>
      </c>
      <c r="O16">
        <v>0</v>
      </c>
      <c r="P16">
        <v>0</v>
      </c>
      <c r="Q16">
        <v>-24619577</v>
      </c>
      <c r="R16">
        <v>0</v>
      </c>
      <c r="S16">
        <v>0</v>
      </c>
      <c r="T16">
        <v>0</v>
      </c>
      <c r="U16">
        <v>-24071682</v>
      </c>
      <c r="V16">
        <v>-6580620</v>
      </c>
    </row>
    <row r="17" spans="1:22">
      <c r="A17" t="s">
        <v>36</v>
      </c>
      <c r="B17">
        <v>1853445</v>
      </c>
      <c r="C17">
        <v>24395719</v>
      </c>
      <c r="D17">
        <v>-32695449</v>
      </c>
      <c r="E17">
        <v>-30690703</v>
      </c>
      <c r="F17">
        <v>-70870177</v>
      </c>
      <c r="G17">
        <v>0</v>
      </c>
      <c r="H17">
        <v>0</v>
      </c>
      <c r="I17">
        <v>-98349242</v>
      </c>
      <c r="J17">
        <v>-149793567</v>
      </c>
      <c r="K17">
        <v>-337127625</v>
      </c>
      <c r="L17">
        <v>-478196538</v>
      </c>
      <c r="M17">
        <v>-143374566</v>
      </c>
      <c r="N17">
        <v>-53441674</v>
      </c>
      <c r="O17">
        <v>-88150475</v>
      </c>
      <c r="P17">
        <v>-147697822</v>
      </c>
      <c r="Q17">
        <v>-159518137</v>
      </c>
      <c r="R17">
        <v>-62897951</v>
      </c>
      <c r="S17">
        <v>-22935678</v>
      </c>
      <c r="T17">
        <v>-64626624</v>
      </c>
      <c r="U17">
        <v>-64934163</v>
      </c>
      <c r="V17">
        <v>-27753036</v>
      </c>
    </row>
    <row r="18" spans="1:22">
      <c r="A18" t="s">
        <v>37</v>
      </c>
      <c r="B18">
        <v>-3434487</v>
      </c>
      <c r="C18">
        <v>-32551467</v>
      </c>
      <c r="D18">
        <v>19916744</v>
      </c>
      <c r="E18">
        <v>72424222</v>
      </c>
      <c r="F18">
        <v>50373606</v>
      </c>
      <c r="G18">
        <v>0</v>
      </c>
      <c r="H18">
        <v>0</v>
      </c>
      <c r="I18">
        <v>265701857</v>
      </c>
      <c r="J18">
        <v>0</v>
      </c>
      <c r="K18">
        <v>252185650</v>
      </c>
      <c r="L18">
        <v>0</v>
      </c>
      <c r="M18">
        <v>454438562</v>
      </c>
      <c r="N18">
        <v>153302796</v>
      </c>
      <c r="O18">
        <v>241062419</v>
      </c>
      <c r="P18">
        <v>407577132</v>
      </c>
      <c r="Q18">
        <v>501179645</v>
      </c>
      <c r="R18">
        <v>10502722</v>
      </c>
      <c r="S18">
        <v>14665768</v>
      </c>
      <c r="T18">
        <v>115473844</v>
      </c>
      <c r="U18">
        <v>161266793</v>
      </c>
    </row>
    <row r="19" spans="1:22">
      <c r="A19" t="s">
        <v>38</v>
      </c>
      <c r="B19">
        <v>3434487</v>
      </c>
      <c r="C19">
        <v>32551467</v>
      </c>
      <c r="D19">
        <v>-19916744</v>
      </c>
      <c r="E19">
        <v>1519</v>
      </c>
      <c r="F19">
        <v>-50373606</v>
      </c>
      <c r="G19">
        <v>0</v>
      </c>
      <c r="H19">
        <v>0</v>
      </c>
      <c r="I19">
        <v>308</v>
      </c>
      <c r="J19">
        <v>151356401</v>
      </c>
      <c r="K19">
        <v>-252185650</v>
      </c>
      <c r="L19">
        <v>0</v>
      </c>
      <c r="M19">
        <v>29</v>
      </c>
      <c r="N19">
        <v>0</v>
      </c>
      <c r="O19">
        <v>1</v>
      </c>
      <c r="P19">
        <v>6</v>
      </c>
      <c r="Q19">
        <v>16</v>
      </c>
      <c r="R19">
        <v>2</v>
      </c>
      <c r="S19">
        <v>11</v>
      </c>
      <c r="T19">
        <v>27</v>
      </c>
      <c r="U19">
        <v>36</v>
      </c>
      <c r="V19">
        <v>0</v>
      </c>
    </row>
    <row r="20" spans="1:22">
      <c r="A20" t="s">
        <v>39</v>
      </c>
      <c r="B20">
        <v>0</v>
      </c>
      <c r="C20">
        <v>0</v>
      </c>
      <c r="D20">
        <v>0</v>
      </c>
      <c r="E20">
        <v>0.20899999999999999</v>
      </c>
      <c r="F20">
        <v>0</v>
      </c>
      <c r="G20">
        <v>0</v>
      </c>
      <c r="H20">
        <v>0</v>
      </c>
      <c r="I20">
        <v>0.76</v>
      </c>
      <c r="J20">
        <v>0</v>
      </c>
      <c r="K20">
        <v>0</v>
      </c>
      <c r="L20">
        <v>0</v>
      </c>
      <c r="M20">
        <v>1.3</v>
      </c>
      <c r="N20">
        <v>0.44</v>
      </c>
      <c r="O20">
        <v>0.69</v>
      </c>
      <c r="P20">
        <v>1.17</v>
      </c>
      <c r="Q20">
        <v>1.44</v>
      </c>
      <c r="R20">
        <v>0.03</v>
      </c>
      <c r="S20">
        <v>4.2999999999999997E-2</v>
      </c>
      <c r="T20">
        <v>0.33</v>
      </c>
      <c r="U20">
        <v>0.46</v>
      </c>
      <c r="V20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8"/>
  <sheetViews>
    <sheetView workbookViewId="0"/>
  </sheetViews>
  <sheetFormatPr defaultRowHeight="13.8"/>
  <cols>
    <col min="1" max="1" width="43.09765625" customWidth="1"/>
    <col min="2" max="6" width="8.8984375" customWidth="1"/>
    <col min="7" max="12" width="9.5" customWidth="1"/>
    <col min="13" max="13" width="8.8984375" customWidth="1"/>
    <col min="14" max="14" width="9.5" customWidth="1"/>
    <col min="15" max="16" width="8.8984375" customWidth="1"/>
    <col min="17" max="17" width="9.5" customWidth="1"/>
    <col min="18" max="18" width="8.8984375" customWidth="1"/>
    <col min="19" max="22" width="9.5" customWidth="1"/>
  </cols>
  <sheetData>
    <row r="1" spans="1:22">
      <c r="A1" s="14" t="s">
        <v>230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>
      <c r="A2" s="15" t="s">
        <v>40</v>
      </c>
      <c r="B2" s="15" t="s">
        <v>1</v>
      </c>
      <c r="C2" s="15" t="s">
        <v>215</v>
      </c>
      <c r="D2" s="15" t="s">
        <v>216</v>
      </c>
      <c r="E2" s="15" t="s">
        <v>217</v>
      </c>
      <c r="F2" s="15" t="s">
        <v>5</v>
      </c>
      <c r="G2" s="15" t="s">
        <v>218</v>
      </c>
      <c r="H2" s="15" t="s">
        <v>219</v>
      </c>
      <c r="I2" s="15" t="s">
        <v>220</v>
      </c>
      <c r="J2" s="15" t="s">
        <v>9</v>
      </c>
      <c r="K2" s="15" t="s">
        <v>221</v>
      </c>
      <c r="L2" s="15" t="s">
        <v>222</v>
      </c>
      <c r="M2" s="15" t="s">
        <v>223</v>
      </c>
      <c r="N2" s="15" t="s">
        <v>13</v>
      </c>
      <c r="O2" s="15" t="s">
        <v>224</v>
      </c>
      <c r="P2" s="15" t="s">
        <v>225</v>
      </c>
      <c r="Q2" s="15" t="s">
        <v>226</v>
      </c>
      <c r="R2" s="15" t="s">
        <v>17</v>
      </c>
      <c r="S2" s="15" t="s">
        <v>227</v>
      </c>
      <c r="T2" s="15" t="s">
        <v>228</v>
      </c>
      <c r="U2" s="15" t="s">
        <v>229</v>
      </c>
      <c r="V2" s="15" t="s">
        <v>21</v>
      </c>
    </row>
    <row r="3" spans="1:22">
      <c r="A3" t="s">
        <v>69</v>
      </c>
      <c r="B3">
        <v>20580943</v>
      </c>
      <c r="C3">
        <v>23617971</v>
      </c>
      <c r="D3">
        <v>28312964</v>
      </c>
      <c r="E3">
        <v>59484645</v>
      </c>
      <c r="F3">
        <v>1593999</v>
      </c>
      <c r="G3">
        <v>-218118931</v>
      </c>
      <c r="H3">
        <v>-208514</v>
      </c>
      <c r="I3">
        <v>272551496</v>
      </c>
      <c r="J3">
        <v>-236840190</v>
      </c>
      <c r="K3">
        <v>-108478646</v>
      </c>
      <c r="L3">
        <v>2389081</v>
      </c>
      <c r="M3">
        <v>0</v>
      </c>
      <c r="N3">
        <v>-243262422</v>
      </c>
      <c r="O3">
        <v>-48264892</v>
      </c>
      <c r="P3">
        <v>-2094403</v>
      </c>
      <c r="Q3">
        <v>-74790978</v>
      </c>
      <c r="R3">
        <v>-73453719</v>
      </c>
      <c r="S3">
        <v>-567520587</v>
      </c>
      <c r="T3">
        <v>401939956</v>
      </c>
      <c r="U3">
        <v>226946602</v>
      </c>
      <c r="V3">
        <v>-299256755</v>
      </c>
    </row>
    <row r="4" spans="1:22">
      <c r="A4" t="s">
        <v>70</v>
      </c>
      <c r="B4">
        <v>0</v>
      </c>
      <c r="C4">
        <v>0</v>
      </c>
      <c r="D4">
        <v>0</v>
      </c>
      <c r="E4">
        <v>0</v>
      </c>
      <c r="F4">
        <v>-4731973</v>
      </c>
      <c r="G4">
        <v>970359</v>
      </c>
      <c r="H4">
        <v>42446203</v>
      </c>
      <c r="I4">
        <v>-249338962</v>
      </c>
      <c r="J4">
        <v>0</v>
      </c>
      <c r="K4">
        <v>38193097</v>
      </c>
      <c r="L4">
        <v>286087281</v>
      </c>
      <c r="M4">
        <v>620556</v>
      </c>
      <c r="N4">
        <v>0</v>
      </c>
      <c r="O4">
        <v>0</v>
      </c>
      <c r="P4">
        <v>0</v>
      </c>
      <c r="Q4">
        <v>-403186273</v>
      </c>
      <c r="R4">
        <v>0</v>
      </c>
      <c r="S4">
        <v>0</v>
      </c>
      <c r="T4">
        <v>51457743</v>
      </c>
      <c r="U4">
        <v>39492306</v>
      </c>
      <c r="V4">
        <v>0</v>
      </c>
    </row>
    <row r="5" spans="1:22">
      <c r="A5" t="s">
        <v>71</v>
      </c>
      <c r="B5">
        <v>0</v>
      </c>
      <c r="C5">
        <v>0</v>
      </c>
      <c r="D5">
        <v>0</v>
      </c>
      <c r="E5">
        <v>0</v>
      </c>
      <c r="F5">
        <v>23914398</v>
      </c>
      <c r="G5">
        <v>253886708</v>
      </c>
      <c r="H5">
        <v>266973190</v>
      </c>
      <c r="I5">
        <v>253003848</v>
      </c>
      <c r="J5">
        <v>222300809</v>
      </c>
      <c r="K5">
        <v>-81428254</v>
      </c>
      <c r="L5">
        <v>-102154058</v>
      </c>
      <c r="M5">
        <v>0</v>
      </c>
      <c r="N5">
        <v>0</v>
      </c>
      <c r="O5">
        <v>0</v>
      </c>
      <c r="P5">
        <v>0</v>
      </c>
      <c r="Q5">
        <v>432355005</v>
      </c>
      <c r="R5">
        <v>0</v>
      </c>
      <c r="S5">
        <v>0</v>
      </c>
      <c r="T5">
        <v>-718428728</v>
      </c>
      <c r="U5">
        <v>-70174362</v>
      </c>
      <c r="V5">
        <v>0</v>
      </c>
    </row>
    <row r="6" spans="1:22">
      <c r="A6" t="s">
        <v>72</v>
      </c>
      <c r="B6">
        <v>0</v>
      </c>
      <c r="C6">
        <v>0</v>
      </c>
      <c r="D6">
        <v>0</v>
      </c>
      <c r="E6">
        <v>0</v>
      </c>
      <c r="F6">
        <v>-7052331</v>
      </c>
      <c r="G6">
        <v>5000000</v>
      </c>
      <c r="H6">
        <v>-209006429</v>
      </c>
      <c r="I6">
        <v>0</v>
      </c>
      <c r="J6">
        <v>-44212049</v>
      </c>
      <c r="K6">
        <v>-68507874</v>
      </c>
      <c r="L6">
        <v>-83481894</v>
      </c>
      <c r="M6">
        <v>81738495</v>
      </c>
      <c r="N6">
        <v>0</v>
      </c>
      <c r="O6">
        <v>0</v>
      </c>
      <c r="P6">
        <v>0</v>
      </c>
      <c r="Q6">
        <v>118111054</v>
      </c>
      <c r="R6">
        <v>0</v>
      </c>
      <c r="S6">
        <v>0</v>
      </c>
      <c r="T6">
        <v>-155618855</v>
      </c>
      <c r="U6">
        <v>-172348500</v>
      </c>
      <c r="V6">
        <v>0</v>
      </c>
    </row>
    <row r="7" spans="1:22">
      <c r="A7" t="s">
        <v>73</v>
      </c>
      <c r="B7">
        <v>104457461</v>
      </c>
      <c r="C7">
        <v>104457461</v>
      </c>
      <c r="D7">
        <v>104457461</v>
      </c>
      <c r="E7">
        <v>104457461</v>
      </c>
      <c r="F7">
        <v>163942106</v>
      </c>
      <c r="G7">
        <v>163942106</v>
      </c>
      <c r="H7">
        <v>163942106</v>
      </c>
      <c r="I7">
        <v>163942106</v>
      </c>
      <c r="J7">
        <v>440158488</v>
      </c>
      <c r="K7">
        <v>440158488</v>
      </c>
      <c r="L7">
        <v>440158488</v>
      </c>
      <c r="M7">
        <v>440158488</v>
      </c>
      <c r="N7">
        <v>522517539</v>
      </c>
      <c r="O7">
        <v>522517539</v>
      </c>
      <c r="P7">
        <v>522517539</v>
      </c>
      <c r="Q7">
        <v>522517539</v>
      </c>
      <c r="R7">
        <v>595006347</v>
      </c>
      <c r="S7">
        <v>595006347</v>
      </c>
      <c r="T7">
        <v>595006347</v>
      </c>
      <c r="U7">
        <v>595006347</v>
      </c>
      <c r="V7">
        <v>618922303</v>
      </c>
    </row>
    <row r="8" spans="1:22">
      <c r="A8" t="s">
        <v>74</v>
      </c>
      <c r="B8">
        <v>125038404</v>
      </c>
      <c r="C8">
        <v>128075432</v>
      </c>
      <c r="D8">
        <v>132770425</v>
      </c>
      <c r="E8">
        <v>163942106</v>
      </c>
      <c r="F8">
        <v>177666199</v>
      </c>
      <c r="G8">
        <v>205680242</v>
      </c>
      <c r="H8">
        <v>264146556</v>
      </c>
      <c r="I8">
        <v>440158488</v>
      </c>
      <c r="J8">
        <v>381407058</v>
      </c>
      <c r="K8">
        <v>219936811</v>
      </c>
      <c r="L8">
        <v>542998898</v>
      </c>
      <c r="M8">
        <v>522517539</v>
      </c>
      <c r="N8">
        <v>279255117</v>
      </c>
      <c r="O8">
        <v>474252647</v>
      </c>
      <c r="P8">
        <v>520423136</v>
      </c>
      <c r="Q8">
        <v>595006347</v>
      </c>
      <c r="R8">
        <v>521552628</v>
      </c>
      <c r="S8">
        <v>27485760</v>
      </c>
      <c r="T8">
        <v>174356463</v>
      </c>
      <c r="U8">
        <v>618922393</v>
      </c>
      <c r="V8">
        <v>319665548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30"/>
  <sheetViews>
    <sheetView workbookViewId="0"/>
  </sheetViews>
  <sheetFormatPr defaultRowHeight="13.8"/>
  <cols>
    <col min="1" max="1" width="43.09765625" customWidth="1"/>
    <col min="2" max="2" width="8.8984375" customWidth="1"/>
    <col min="3" max="7" width="9.8984375" customWidth="1"/>
    <col min="8" max="8" width="10.3984375" customWidth="1"/>
    <col min="9" max="14" width="9.8984375" customWidth="1"/>
    <col min="15" max="16" width="10.3984375" customWidth="1"/>
    <col min="17" max="22" width="9.8984375" customWidth="1"/>
  </cols>
  <sheetData>
    <row r="1" spans="1:22">
      <c r="A1" s="14" t="s">
        <v>231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>
      <c r="A2" s="15" t="s">
        <v>40</v>
      </c>
      <c r="B2" s="15" t="s">
        <v>1</v>
      </c>
      <c r="C2" s="15" t="s">
        <v>215</v>
      </c>
      <c r="D2" s="15" t="s">
        <v>216</v>
      </c>
      <c r="E2" s="15" t="s">
        <v>217</v>
      </c>
      <c r="F2" s="15" t="s">
        <v>5</v>
      </c>
      <c r="G2" s="15" t="s">
        <v>218</v>
      </c>
      <c r="H2" s="15" t="s">
        <v>219</v>
      </c>
      <c r="I2" s="15" t="s">
        <v>220</v>
      </c>
      <c r="J2" s="15" t="s">
        <v>9</v>
      </c>
      <c r="K2" s="15" t="s">
        <v>221</v>
      </c>
      <c r="L2" s="15" t="s">
        <v>222</v>
      </c>
      <c r="M2" s="15" t="s">
        <v>223</v>
      </c>
      <c r="N2" s="15" t="s">
        <v>13</v>
      </c>
      <c r="O2" s="15" t="s">
        <v>224</v>
      </c>
      <c r="P2" s="15" t="s">
        <v>225</v>
      </c>
      <c r="Q2" s="15" t="s">
        <v>226</v>
      </c>
      <c r="R2" s="15" t="s">
        <v>17</v>
      </c>
      <c r="S2" s="15" t="s">
        <v>227</v>
      </c>
      <c r="T2" s="15" t="s">
        <v>228</v>
      </c>
      <c r="U2" s="15" t="s">
        <v>229</v>
      </c>
      <c r="V2" s="15" t="s">
        <v>21</v>
      </c>
    </row>
    <row r="3" spans="1:22">
      <c r="A3" t="s">
        <v>41</v>
      </c>
      <c r="B3">
        <v>580716667</v>
      </c>
      <c r="C3">
        <v>680979431</v>
      </c>
      <c r="D3">
        <v>742771604</v>
      </c>
      <c r="E3">
        <v>730770964</v>
      </c>
      <c r="F3">
        <v>709089656</v>
      </c>
      <c r="G3">
        <v>686911526</v>
      </c>
      <c r="H3">
        <v>702438044</v>
      </c>
      <c r="I3">
        <v>693270370</v>
      </c>
      <c r="J3">
        <v>672151438</v>
      </c>
      <c r="K3">
        <v>749876972</v>
      </c>
      <c r="L3">
        <v>725908951</v>
      </c>
      <c r="M3">
        <v>776875848</v>
      </c>
      <c r="N3">
        <v>777075980</v>
      </c>
      <c r="O3">
        <v>795926750</v>
      </c>
      <c r="P3">
        <v>785832180</v>
      </c>
      <c r="Q3">
        <v>811770762</v>
      </c>
      <c r="R3">
        <v>949274112</v>
      </c>
      <c r="S3">
        <v>922412917</v>
      </c>
      <c r="T3">
        <v>968233533</v>
      </c>
      <c r="U3">
        <v>989890873</v>
      </c>
      <c r="V3">
        <v>775409439</v>
      </c>
    </row>
    <row r="4" spans="1:22">
      <c r="A4" t="s">
        <v>42</v>
      </c>
      <c r="B4">
        <v>194092151</v>
      </c>
      <c r="C4">
        <v>109649645</v>
      </c>
      <c r="D4">
        <v>28446645</v>
      </c>
      <c r="E4">
        <v>2487907</v>
      </c>
      <c r="F4">
        <v>56001562</v>
      </c>
      <c r="G4">
        <v>61003069</v>
      </c>
      <c r="H4">
        <v>51373180</v>
      </c>
      <c r="I4">
        <v>102537315</v>
      </c>
      <c r="J4">
        <v>128895956</v>
      </c>
      <c r="K4">
        <v>88123214</v>
      </c>
      <c r="L4">
        <v>100624381</v>
      </c>
      <c r="M4">
        <v>38909533</v>
      </c>
      <c r="N4">
        <v>72462022</v>
      </c>
      <c r="O4">
        <v>175730482</v>
      </c>
      <c r="P4">
        <v>205091605</v>
      </c>
      <c r="Q4">
        <v>197596471</v>
      </c>
      <c r="R4">
        <v>159402306</v>
      </c>
      <c r="S4">
        <v>173152041</v>
      </c>
      <c r="T4">
        <v>122350826</v>
      </c>
      <c r="U4">
        <v>89102731</v>
      </c>
      <c r="V4">
        <v>90000322</v>
      </c>
    </row>
    <row r="5" spans="1:22">
      <c r="A5" t="s">
        <v>43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3365395</v>
      </c>
      <c r="N5">
        <v>3365395</v>
      </c>
      <c r="O5">
        <v>3365395</v>
      </c>
      <c r="P5">
        <v>3365395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72502733</v>
      </c>
    </row>
    <row r="7" spans="1:22">
      <c r="A7" t="s">
        <v>45</v>
      </c>
      <c r="B7">
        <v>0</v>
      </c>
      <c r="C7">
        <v>0</v>
      </c>
      <c r="D7">
        <v>4629853</v>
      </c>
      <c r="E7">
        <v>54629853</v>
      </c>
      <c r="F7">
        <v>4629853</v>
      </c>
      <c r="G7">
        <v>4629853</v>
      </c>
      <c r="H7">
        <v>-753811224</v>
      </c>
      <c r="I7">
        <v>4018553</v>
      </c>
      <c r="J7">
        <v>104018553</v>
      </c>
      <c r="K7">
        <v>4155415</v>
      </c>
      <c r="L7">
        <v>4155415</v>
      </c>
      <c r="M7">
        <v>0</v>
      </c>
      <c r="N7">
        <v>0</v>
      </c>
      <c r="O7">
        <v>-974999020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t="s">
        <v>46</v>
      </c>
      <c r="B8">
        <v>357787229</v>
      </c>
      <c r="C8">
        <v>439773442</v>
      </c>
      <c r="D8">
        <v>494319945</v>
      </c>
      <c r="E8">
        <v>14255299</v>
      </c>
      <c r="F8">
        <v>15842107</v>
      </c>
      <c r="G8">
        <v>716197484</v>
      </c>
      <c r="H8">
        <v>0</v>
      </c>
      <c r="I8">
        <v>572087082</v>
      </c>
      <c r="J8">
        <v>755206928</v>
      </c>
      <c r="K8">
        <v>712189945</v>
      </c>
      <c r="L8">
        <v>687384207</v>
      </c>
      <c r="M8">
        <v>894981615</v>
      </c>
      <c r="N8">
        <v>1139385610</v>
      </c>
      <c r="O8">
        <v>4174473687</v>
      </c>
      <c r="P8">
        <v>1053367544</v>
      </c>
      <c r="Q8">
        <v>1233048891</v>
      </c>
      <c r="R8">
        <v>0</v>
      </c>
      <c r="S8">
        <v>1465216424</v>
      </c>
      <c r="T8">
        <v>1080034913</v>
      </c>
      <c r="U8">
        <v>1250611372</v>
      </c>
      <c r="V8">
        <v>1194680642</v>
      </c>
    </row>
    <row r="9" spans="1:22">
      <c r="A9" t="s">
        <v>47</v>
      </c>
      <c r="B9">
        <v>610803432</v>
      </c>
      <c r="C9">
        <v>576907582</v>
      </c>
      <c r="D9">
        <v>669512956</v>
      </c>
      <c r="E9">
        <v>637237807</v>
      </c>
      <c r="F9">
        <v>686879995</v>
      </c>
      <c r="G9">
        <v>779953345</v>
      </c>
      <c r="H9">
        <v>0</v>
      </c>
      <c r="I9">
        <v>591657820</v>
      </c>
      <c r="J9">
        <v>0</v>
      </c>
      <c r="K9">
        <v>847346753</v>
      </c>
      <c r="L9">
        <v>988549365</v>
      </c>
      <c r="M9">
        <v>938184238</v>
      </c>
      <c r="N9">
        <v>1224208460</v>
      </c>
      <c r="O9">
        <v>231628902</v>
      </c>
      <c r="P9">
        <v>0</v>
      </c>
      <c r="Q9">
        <v>1307396997</v>
      </c>
      <c r="R9">
        <v>1562872775</v>
      </c>
      <c r="S9">
        <v>1353994231</v>
      </c>
      <c r="T9">
        <v>1528959846</v>
      </c>
      <c r="U9">
        <v>1526519565</v>
      </c>
      <c r="V9">
        <v>1800636217</v>
      </c>
    </row>
    <row r="10" spans="1:22">
      <c r="A10" t="s">
        <v>48</v>
      </c>
      <c r="B10">
        <v>495455767</v>
      </c>
      <c r="C10">
        <v>505746612</v>
      </c>
      <c r="D10">
        <v>518535034</v>
      </c>
      <c r="E10">
        <v>957804744</v>
      </c>
      <c r="F10">
        <v>1005759600</v>
      </c>
      <c r="G10">
        <v>510256601</v>
      </c>
      <c r="H10">
        <v>-264146556</v>
      </c>
      <c r="I10">
        <v>695386168</v>
      </c>
      <c r="J10">
        <v>1609946301</v>
      </c>
      <c r="K10">
        <v>654150356</v>
      </c>
      <c r="L10">
        <v>443603657</v>
      </c>
      <c r="M10">
        <v>434976393</v>
      </c>
      <c r="N10">
        <v>879563603</v>
      </c>
      <c r="O10">
        <v>-1504177669</v>
      </c>
      <c r="P10">
        <v>1905769483</v>
      </c>
      <c r="Q10">
        <v>574627117</v>
      </c>
      <c r="R10">
        <v>2184098077</v>
      </c>
      <c r="S10">
        <v>456607125</v>
      </c>
      <c r="T10">
        <v>388344339</v>
      </c>
      <c r="U10">
        <v>450154473</v>
      </c>
      <c r="V10">
        <v>691837974</v>
      </c>
    </row>
    <row r="11" spans="1:22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50</v>
      </c>
      <c r="B12">
        <v>125038404</v>
      </c>
      <c r="C12">
        <v>128075432</v>
      </c>
      <c r="D12">
        <v>132770425</v>
      </c>
      <c r="E12">
        <v>163942106</v>
      </c>
      <c r="F12">
        <v>177666199</v>
      </c>
      <c r="G12">
        <v>205680242</v>
      </c>
      <c r="H12">
        <v>264146556</v>
      </c>
      <c r="I12">
        <v>440158488</v>
      </c>
      <c r="J12">
        <v>381407058</v>
      </c>
      <c r="K12">
        <v>219936811</v>
      </c>
      <c r="L12">
        <v>542098898</v>
      </c>
      <c r="M12">
        <v>522517539</v>
      </c>
      <c r="N12">
        <v>279255117</v>
      </c>
      <c r="O12">
        <v>474252647</v>
      </c>
      <c r="P12">
        <v>520423136</v>
      </c>
      <c r="Q12">
        <v>595006347</v>
      </c>
      <c r="R12">
        <v>521552628</v>
      </c>
      <c r="S12">
        <v>271483760</v>
      </c>
      <c r="T12">
        <v>174356463</v>
      </c>
      <c r="U12">
        <v>618922303</v>
      </c>
      <c r="V12">
        <v>319665548</v>
      </c>
    </row>
    <row r="13" spans="1:22">
      <c r="A13" t="s">
        <v>51</v>
      </c>
      <c r="B13">
        <v>56521739</v>
      </c>
      <c r="C13">
        <v>56521739</v>
      </c>
      <c r="D13">
        <v>56521739</v>
      </c>
      <c r="E13">
        <v>56521739</v>
      </c>
      <c r="F13">
        <v>56521739</v>
      </c>
      <c r="G13">
        <v>56521739</v>
      </c>
      <c r="H13">
        <v>56521739</v>
      </c>
      <c r="I13">
        <v>56521739</v>
      </c>
      <c r="J13">
        <v>56521739</v>
      </c>
      <c r="K13">
        <v>56521739</v>
      </c>
      <c r="L13">
        <v>56521739</v>
      </c>
      <c r="M13">
        <v>56521739</v>
      </c>
      <c r="N13">
        <v>56521739</v>
      </c>
      <c r="O13">
        <v>56521739</v>
      </c>
      <c r="P13">
        <v>56521739</v>
      </c>
      <c r="Q13">
        <v>56521739</v>
      </c>
      <c r="R13">
        <v>56521739</v>
      </c>
      <c r="S13">
        <v>56521739</v>
      </c>
      <c r="T13">
        <v>56521739</v>
      </c>
      <c r="U13">
        <v>56521739</v>
      </c>
      <c r="V13">
        <v>56521739</v>
      </c>
    </row>
    <row r="14" spans="1:22">
      <c r="A14" t="s">
        <v>52</v>
      </c>
      <c r="B14">
        <v>28260870</v>
      </c>
      <c r="C14">
        <v>28260870</v>
      </c>
      <c r="D14">
        <v>28260870</v>
      </c>
      <c r="E14">
        <v>28260870</v>
      </c>
      <c r="F14">
        <v>28260870</v>
      </c>
      <c r="G14">
        <v>28260870</v>
      </c>
      <c r="H14">
        <v>28260870</v>
      </c>
      <c r="I14">
        <v>28260870</v>
      </c>
      <c r="J14">
        <v>28260870</v>
      </c>
      <c r="K14">
        <v>28260870</v>
      </c>
      <c r="L14">
        <v>28260870</v>
      </c>
      <c r="M14">
        <v>28260870</v>
      </c>
      <c r="N14">
        <v>28260870</v>
      </c>
      <c r="O14">
        <v>28260870</v>
      </c>
      <c r="P14">
        <v>28260870</v>
      </c>
      <c r="Q14">
        <v>28260870</v>
      </c>
      <c r="R14">
        <v>28260870</v>
      </c>
      <c r="S14">
        <v>28260870</v>
      </c>
      <c r="T14">
        <v>28260870</v>
      </c>
      <c r="U14">
        <v>28260870</v>
      </c>
      <c r="V14">
        <v>28260870</v>
      </c>
    </row>
    <row r="15" spans="1:22">
      <c r="A15" t="s">
        <v>53</v>
      </c>
      <c r="B15">
        <v>283422423</v>
      </c>
      <c r="C15">
        <v>283422423</v>
      </c>
      <c r="D15">
        <v>283422423</v>
      </c>
      <c r="E15">
        <v>283422423</v>
      </c>
      <c r="F15">
        <v>283422423</v>
      </c>
      <c r="G15">
        <v>283422423</v>
      </c>
      <c r="H15">
        <v>283422423</v>
      </c>
      <c r="I15">
        <v>283422423</v>
      </c>
      <c r="J15">
        <v>283422423</v>
      </c>
      <c r="K15">
        <v>283422423</v>
      </c>
      <c r="L15">
        <v>283422423</v>
      </c>
      <c r="M15">
        <v>283422423</v>
      </c>
      <c r="N15">
        <v>283422423</v>
      </c>
      <c r="O15">
        <v>283422423</v>
      </c>
      <c r="P15">
        <v>283422423</v>
      </c>
      <c r="Q15">
        <v>283422423</v>
      </c>
      <c r="R15">
        <v>283422423</v>
      </c>
      <c r="S15">
        <v>283422423</v>
      </c>
      <c r="T15">
        <v>283422423</v>
      </c>
      <c r="U15">
        <v>283422423</v>
      </c>
      <c r="V15">
        <v>283422423</v>
      </c>
    </row>
    <row r="16" spans="1:22">
      <c r="A16" t="s">
        <v>54</v>
      </c>
      <c r="B16">
        <v>170196</v>
      </c>
      <c r="C16">
        <v>170196</v>
      </c>
      <c r="D16">
        <v>170196</v>
      </c>
      <c r="E16">
        <v>170196</v>
      </c>
      <c r="F16">
        <v>170196</v>
      </c>
      <c r="G16">
        <v>170196</v>
      </c>
      <c r="H16">
        <v>170196</v>
      </c>
      <c r="I16">
        <v>170196</v>
      </c>
      <c r="J16">
        <v>170196</v>
      </c>
      <c r="K16">
        <v>170196</v>
      </c>
      <c r="L16">
        <v>170196</v>
      </c>
      <c r="M16">
        <v>170196</v>
      </c>
      <c r="N16">
        <v>170196</v>
      </c>
      <c r="O16">
        <v>170196</v>
      </c>
      <c r="P16">
        <v>170196</v>
      </c>
      <c r="Q16">
        <v>170196</v>
      </c>
      <c r="R16">
        <v>170196</v>
      </c>
      <c r="S16">
        <v>170196</v>
      </c>
      <c r="T16">
        <v>170196</v>
      </c>
      <c r="U16">
        <v>170196</v>
      </c>
      <c r="V16">
        <v>170196</v>
      </c>
    </row>
    <row r="17" spans="1:22">
      <c r="A17" t="s">
        <v>55</v>
      </c>
      <c r="B17">
        <v>437425924</v>
      </c>
      <c r="C17">
        <v>409775809</v>
      </c>
      <c r="D17">
        <v>460778079</v>
      </c>
      <c r="E17">
        <v>490330894</v>
      </c>
      <c r="F17">
        <v>540704520</v>
      </c>
      <c r="G17">
        <v>601432146</v>
      </c>
      <c r="H17">
        <v>-368353839</v>
      </c>
      <c r="I17">
        <v>756033059</v>
      </c>
      <c r="J17">
        <v>-92610540</v>
      </c>
      <c r="K17">
        <v>822314279</v>
      </c>
      <c r="L17">
        <v>902787741</v>
      </c>
      <c r="M17">
        <v>932671519</v>
      </c>
      <c r="N17">
        <v>1085974315</v>
      </c>
      <c r="O17">
        <v>-12170361</v>
      </c>
      <c r="P17">
        <v>-367655643</v>
      </c>
      <c r="Q17">
        <v>1247938694</v>
      </c>
      <c r="R17">
        <v>4258539604</v>
      </c>
      <c r="S17">
        <v>962733433</v>
      </c>
      <c r="T17">
        <v>1063541525</v>
      </c>
      <c r="U17">
        <v>1109326281</v>
      </c>
      <c r="V17">
        <v>1153512638</v>
      </c>
    </row>
    <row r="18" spans="1:22">
      <c r="A18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8186</v>
      </c>
      <c r="R18">
        <v>0</v>
      </c>
      <c r="S18">
        <v>0</v>
      </c>
      <c r="T18">
        <v>0</v>
      </c>
      <c r="U18">
        <v>8202</v>
      </c>
      <c r="V18">
        <v>0</v>
      </c>
    </row>
    <row r="19" spans="1:22">
      <c r="A19" t="s">
        <v>57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60</v>
      </c>
      <c r="B22">
        <v>190532794</v>
      </c>
      <c r="C22">
        <v>201172347</v>
      </c>
      <c r="D22">
        <v>191323203</v>
      </c>
      <c r="E22">
        <v>179897567</v>
      </c>
      <c r="F22">
        <v>197456281</v>
      </c>
      <c r="G22">
        <v>183908773</v>
      </c>
      <c r="H22">
        <v>0</v>
      </c>
      <c r="I22">
        <v>197298878</v>
      </c>
      <c r="J22">
        <v>0</v>
      </c>
      <c r="K22">
        <v>219602956</v>
      </c>
      <c r="L22">
        <v>206204999</v>
      </c>
      <c r="M22">
        <v>172009384</v>
      </c>
      <c r="N22">
        <v>164331690</v>
      </c>
      <c r="O22">
        <v>0</v>
      </c>
      <c r="P22">
        <v>726905600</v>
      </c>
      <c r="Q22">
        <v>109599033</v>
      </c>
      <c r="R22">
        <v>81614839</v>
      </c>
      <c r="S22">
        <v>75871915</v>
      </c>
      <c r="T22">
        <v>70354918</v>
      </c>
      <c r="U22">
        <v>158545659</v>
      </c>
      <c r="V22">
        <v>159218525</v>
      </c>
    </row>
    <row r="23" spans="1:22">
      <c r="A23" t="s">
        <v>61</v>
      </c>
      <c r="B23">
        <v>893781783</v>
      </c>
      <c r="C23">
        <v>1079329424</v>
      </c>
      <c r="D23">
        <v>1143833077</v>
      </c>
      <c r="E23">
        <v>1009448556</v>
      </c>
      <c r="F23">
        <v>1018839703</v>
      </c>
      <c r="G23">
        <v>1263765727</v>
      </c>
      <c r="H23">
        <v>1269605117</v>
      </c>
      <c r="I23">
        <v>1247679118</v>
      </c>
      <c r="J23">
        <v>0</v>
      </c>
      <c r="K23">
        <v>0</v>
      </c>
      <c r="L23">
        <v>1306364225</v>
      </c>
      <c r="M23">
        <v>1363122686</v>
      </c>
      <c r="N23">
        <v>1890644554</v>
      </c>
      <c r="O23">
        <v>0</v>
      </c>
      <c r="P23">
        <v>4799281490</v>
      </c>
      <c r="Q23">
        <v>2067397001</v>
      </c>
      <c r="R23">
        <v>2593558834</v>
      </c>
      <c r="S23">
        <v>2421472118</v>
      </c>
      <c r="T23">
        <v>1725372216</v>
      </c>
      <c r="U23">
        <v>2311514563</v>
      </c>
      <c r="V23">
        <v>2121862769</v>
      </c>
    </row>
    <row r="24" spans="1:22">
      <c r="A24" t="s">
        <v>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65183311</v>
      </c>
      <c r="N24">
        <v>73000051</v>
      </c>
      <c r="O24">
        <v>74254763</v>
      </c>
      <c r="P24">
        <v>73840651</v>
      </c>
      <c r="Q24">
        <v>72262122</v>
      </c>
      <c r="R24">
        <v>67809946</v>
      </c>
      <c r="S24">
        <v>60005084</v>
      </c>
      <c r="T24">
        <v>44203678</v>
      </c>
      <c r="U24">
        <v>30878285</v>
      </c>
      <c r="V24">
        <v>25295743</v>
      </c>
    </row>
    <row r="25" spans="1:22">
      <c r="A25" t="s">
        <v>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64</v>
      </c>
      <c r="B26">
        <v>230707379</v>
      </c>
      <c r="C26">
        <v>251076605</v>
      </c>
      <c r="D26">
        <v>277948477</v>
      </c>
      <c r="E26">
        <v>362791272</v>
      </c>
      <c r="F26">
        <v>324673498</v>
      </c>
      <c r="G26">
        <v>333838339</v>
      </c>
      <c r="H26">
        <v>312942677</v>
      </c>
      <c r="I26">
        <v>229886487</v>
      </c>
      <c r="J26">
        <v>0</v>
      </c>
      <c r="K26">
        <v>198087758</v>
      </c>
      <c r="L26">
        <v>264086358</v>
      </c>
      <c r="M26">
        <v>293868195</v>
      </c>
      <c r="N26">
        <v>274067562</v>
      </c>
      <c r="O26">
        <v>362697</v>
      </c>
      <c r="P26">
        <v>512746098</v>
      </c>
      <c r="Q26">
        <v>425306897</v>
      </c>
      <c r="R26">
        <v>552498533</v>
      </c>
      <c r="S26">
        <v>478932180</v>
      </c>
      <c r="T26">
        <v>691263775</v>
      </c>
      <c r="U26">
        <v>625755179</v>
      </c>
      <c r="V26">
        <v>711930677</v>
      </c>
    </row>
    <row r="27" spans="1:22">
      <c r="A27" t="s">
        <v>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67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68</v>
      </c>
      <c r="B30">
        <v>243070542</v>
      </c>
      <c r="C30">
        <v>-868597269</v>
      </c>
      <c r="D30">
        <v>148728398</v>
      </c>
      <c r="E30">
        <v>150285163</v>
      </c>
      <c r="F30">
        <v>205819742</v>
      </c>
      <c r="G30">
        <v>213311907</v>
      </c>
      <c r="H30">
        <v>-1582547794</v>
      </c>
      <c r="I30">
        <v>299843026</v>
      </c>
      <c r="J30">
        <v>0</v>
      </c>
      <c r="K30">
        <v>1667399245</v>
      </c>
      <c r="L30">
        <v>444506323</v>
      </c>
      <c r="M30">
        <v>414580238</v>
      </c>
      <c r="N30">
        <v>518322787</v>
      </c>
      <c r="O30">
        <v>770398907</v>
      </c>
      <c r="P30">
        <v>-4561640081</v>
      </c>
      <c r="Q30">
        <v>428559424</v>
      </c>
      <c r="R30">
        <v>454802914</v>
      </c>
      <c r="S30">
        <v>275476540</v>
      </c>
      <c r="T30">
        <v>299168580</v>
      </c>
      <c r="U30">
        <v>320797920</v>
      </c>
      <c r="V30">
        <v>404537295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Input_IS</vt:lpstr>
      <vt:lpstr>Input_BS</vt:lpstr>
      <vt:lpstr>Input_CF</vt:lpstr>
      <vt:lpstr>Income Statement</vt:lpstr>
      <vt:lpstr>Balance Sheet</vt:lpstr>
      <vt:lpstr>Cash Flow</vt:lpstr>
      <vt:lpstr>Ratios</vt:lpstr>
      <vt:lpstr>Working Capital</vt:lpstr>
      <vt:lpstr>Checks</vt:lpstr>
      <vt:lpstr>Index</vt:lpstr>
      <vt:lpstr>Source_IS_YTD</vt:lpstr>
      <vt:lpstr>Source_CF_YTD</vt:lpstr>
      <vt:lpstr>Source_BS_AsReported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Dawod</cp:lastModifiedBy>
  <dcterms:modified xsi:type="dcterms:W3CDTF">2026-06-27T01:19:39Z</dcterms:modified>
</cp:coreProperties>
</file>